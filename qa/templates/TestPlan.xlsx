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TestCases" sheetId="4" state="visible" r:id="rId4"/>
    <sheet xmlns:r="http://schemas.openxmlformats.org/officeDocument/2006/relationships" name="RTM" sheetId="5" state="visible" r:id="rId5"/>
    <sheet xmlns:r="http://schemas.openxmlformats.org/officeDocument/2006/relationships" name="Bugs" sheetId="6" state="visible" r:id="rId6"/>
  </sheets>
  <definedNames>
    <definedName name="_xlnm._FilterDatabase" localSheetId="3" hidden="1">'TestCases'!$A$1:$Q$1001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name val="Calibri"/>
      <b val="1"/>
      <color rgb="00FFFFFF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" fontId="5" fillId="0" borderId="1" pivotButton="0" quotePrefix="0" xfId="0"/>
    <xf numFmtId="165" fontId="5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'Dashboard'!$D$3:$D$6</f>
            </numRef>
          </cat>
          <val>
            <numRef>
              <f>'Dashboard'!$E$3:$E$6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Test plan with automation</t>
        </is>
      </c>
    </row>
    <row r="2">
      <c r="A2" s="2" t="inlineStr"/>
    </row>
    <row r="3">
      <c r="A3" s="2" t="inlineStr">
        <is>
          <t>1. Requirements: list each requirement with a Req_ID (REQ_001, REQ_002...).</t>
        </is>
      </c>
    </row>
    <row r="4">
      <c r="A4" s="2" t="inlineStr">
        <is>
          <t>2. TestCases: ask the assistant to write test cases from the requirements, or add rows by hand. Every row needs a TC_ID and a Req_ID.</t>
        </is>
      </c>
    </row>
    <row r="5">
      <c r="A5" s="2" t="inlineStr">
        <is>
          <t>3. Automation: the assistant writes a Playwright script per test case (saved as a draft in the QA project folder).</t>
        </is>
      </c>
    </row>
    <row r="6">
      <c r="A6" s="2" t="inlineStr">
        <is>
          <t>4. Approval: you read the script and run  excel-partner qa approve TC_001  . Only approved scripts run unattended.</t>
        </is>
      </c>
    </row>
    <row r="7">
      <c r="A7" s="2" t="inlineStr">
        <is>
          <t>5. Run: ask the assistant to run the tests, then write the results to this sheet (Last_Run, Last_Result, Duration_s, Run_Evidence).</t>
        </is>
      </c>
    </row>
    <row r="8">
      <c r="A8" s="2" t="inlineStr">
        <is>
          <t>6. RTM and Dashboard update by themselves from TestCases and Requirements.</t>
        </is>
      </c>
    </row>
    <row r="9">
      <c r="A9" s="2" t="inlineStr"/>
    </row>
    <row r="10">
      <c r="A10" s="2" t="inlineStr">
        <is>
          <t>Columns filled by the tool (do not type in them): Automation_Status, Script_Path, Last_Run, Last_Result, Duration_s, Run_Evidence.</t>
        </is>
      </c>
    </row>
    <row r="11">
      <c r="A11" s="2" t="inlineStr">
        <is>
          <t>Never write passwords or tokens in this workbook. Sign-in is done once with  excel-partner qa login &lt;role&gt;  .</t>
        </is>
      </c>
    </row>
    <row r="12">
      <c r="A12" s="2" t="inlineStr">
        <is>
          <t>Rows 2-3 of TestCases are samples; delete or replace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3" t="inlineStr">
        <is>
          <t>Test status</t>
        </is>
      </c>
    </row>
    <row r="2">
      <c r="D2" s="4" t="inlineStr">
        <is>
          <t>Result</t>
        </is>
      </c>
      <c r="E2" s="4" t="inlineStr">
        <is>
          <t>Count</t>
        </is>
      </c>
    </row>
    <row r="3">
      <c r="A3" s="5" t="inlineStr">
        <is>
          <t>Test cases</t>
        </is>
      </c>
      <c r="B3" s="6">
        <f>COUNTA(TestCases!$A$2:$A$1001)</f>
        <v/>
      </c>
      <c r="D3" t="inlineStr">
        <is>
          <t>Passed</t>
        </is>
      </c>
      <c r="E3">
        <f>B5</f>
        <v/>
      </c>
    </row>
    <row r="4">
      <c r="A4" s="5" t="inlineStr">
        <is>
          <t>Automated and approved</t>
        </is>
      </c>
      <c r="B4" s="6">
        <f>COUNTIF(TestCases!$K$2:$K$1001,"Approved")</f>
        <v/>
      </c>
      <c r="D4" t="inlineStr">
        <is>
          <t>Failed</t>
        </is>
      </c>
      <c r="E4">
        <f>B6</f>
        <v/>
      </c>
    </row>
    <row r="5">
      <c r="A5" s="5" t="inlineStr">
        <is>
          <t>Passed</t>
        </is>
      </c>
      <c r="B5" s="6">
        <f>COUNTIF(TestCases!$N$2:$N$1001,"Passed")</f>
        <v/>
      </c>
      <c r="D5" t="inlineStr">
        <is>
          <t>Flaky</t>
        </is>
      </c>
      <c r="E5">
        <f>B7</f>
        <v/>
      </c>
    </row>
    <row r="6">
      <c r="A6" s="5" t="inlineStr">
        <is>
          <t>Failed</t>
        </is>
      </c>
      <c r="B6" s="6">
        <f>COUNTIF(TestCases!$N$2:$N$1001,"Failed")+COUNTIF(TestCases!$N$2:$N$1001,"Timed out")</f>
        <v/>
      </c>
      <c r="D6" t="inlineStr">
        <is>
          <t>Not run</t>
        </is>
      </c>
      <c r="E6">
        <f>B8</f>
        <v/>
      </c>
    </row>
    <row r="7">
      <c r="A7" s="5" t="inlineStr">
        <is>
          <t>Flaky</t>
        </is>
      </c>
      <c r="B7" s="6">
        <f>COUNTIF(TestCases!$N$2:$N$1001,"Flaky")</f>
        <v/>
      </c>
    </row>
    <row r="8">
      <c r="A8" s="5" t="inlineStr">
        <is>
          <t>Not run yet</t>
        </is>
      </c>
      <c r="B8" s="6">
        <f>B3-B5-B6-B7-COUNTIF(TestCases!$N$2:$N$1001,"Skipped")</f>
        <v/>
      </c>
    </row>
    <row r="9">
      <c r="A9" s="5" t="inlineStr">
        <is>
          <t>Pass rate (of executed)</t>
        </is>
      </c>
      <c r="B9" s="7">
        <f>IF(B5+B6+B7=0,"-",B5/(B5+B6+B7))</f>
        <v/>
      </c>
    </row>
    <row r="10">
      <c r="A10" s="5" t="inlineStr">
        <is>
          <t>Requirements with no test</t>
        </is>
      </c>
      <c r="B10" s="6">
        <f>COUNTIF(RTM!$H$2:$H$201,"No tests")</f>
        <v/>
      </c>
    </row>
    <row r="11">
      <c r="A11" s="5" t="inlineStr">
        <is>
          <t>Requirement coverage</t>
        </is>
      </c>
      <c r="B11" s="7">
        <f>IF(COUNTIF(Requirements!$A$2:$A$201,"?*")=0,"-",1-B10/COUNTIF(Requirements!$A$2:$A$201,"?*"))</f>
        <v/>
      </c>
    </row>
  </sheetData>
  <conditionalFormatting sqref="B6">
    <cfRule type="cellIs" priority="1" operator="greaterThan" dxfId="0">
      <formula>0</formula>
    </cfRule>
  </conditionalFormatting>
  <conditionalFormatting sqref="B10">
    <cfRule type="cellIs" priority="2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  <col width="10" customWidth="1" min="4" max="4"/>
    <col width="22" customWidth="1" min="5" max="5"/>
    <col width="14" customWidth="1" min="6" max="6"/>
  </cols>
  <sheetData>
    <row r="1" ht="24" customHeight="1">
      <c r="A1" s="8" t="inlineStr">
        <is>
          <t>Req_ID</t>
        </is>
      </c>
      <c r="B1" s="8" t="inlineStr">
        <is>
          <t>Title</t>
        </is>
      </c>
      <c r="C1" s="8" t="inlineStr">
        <is>
          <t>Description</t>
        </is>
      </c>
      <c r="D1" s="8" t="inlineStr">
        <is>
          <t>Priority</t>
        </is>
      </c>
      <c r="E1" s="8" t="inlineStr">
        <is>
          <t>Source</t>
        </is>
      </c>
      <c r="F1" s="8" t="inlineStr">
        <is>
          <t>Status</t>
        </is>
      </c>
    </row>
    <row r="2">
      <c r="A2" s="9" t="inlineStr">
        <is>
          <t>REQ_001</t>
        </is>
      </c>
      <c r="B2" s="9" t="inlineStr">
        <is>
          <t>Users can sign in</t>
        </is>
      </c>
      <c r="C2" s="9" t="inlineStr">
        <is>
          <t>A registered user can sign in with a valid login and password and sees the home screen.</t>
        </is>
      </c>
      <c r="D2" s="9" t="inlineStr">
        <is>
          <t>High</t>
        </is>
      </c>
      <c r="E2" s="9" t="inlineStr">
        <is>
          <t>Sample</t>
        </is>
      </c>
      <c r="F2" s="9" t="inlineStr">
        <is>
          <t>Approved</t>
        </is>
      </c>
    </row>
    <row r="3">
      <c r="A3" s="9" t="inlineStr">
        <is>
          <t>REQ_002</t>
        </is>
      </c>
      <c r="B3" s="9" t="inlineStr">
        <is>
          <t>Sale order can be confirmed</t>
        </is>
      </c>
      <c r="C3" s="9" t="inlineStr">
        <is>
          <t>A draft quotation with at least one line can be confirmed and becomes a sale order.</t>
        </is>
      </c>
      <c r="D3" s="9" t="inlineStr">
        <is>
          <t>High</t>
        </is>
      </c>
      <c r="E3" s="9" t="inlineStr">
        <is>
          <t>Sample</t>
        </is>
      </c>
      <c r="F3" s="9" t="inlineStr">
        <is>
          <t>Draft</t>
        </is>
      </c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  <row r="47">
      <c r="A47" s="9" t="n"/>
      <c r="B47" s="9" t="n"/>
      <c r="C47" s="9" t="n"/>
      <c r="D47" s="9" t="n"/>
      <c r="E47" s="9" t="n"/>
      <c r="F47" s="9" t="n"/>
    </row>
    <row r="48">
      <c r="A48" s="9" t="n"/>
      <c r="B48" s="9" t="n"/>
      <c r="C48" s="9" t="n"/>
      <c r="D48" s="9" t="n"/>
      <c r="E48" s="9" t="n"/>
      <c r="F48" s="9" t="n"/>
    </row>
    <row r="49">
      <c r="A49" s="9" t="n"/>
      <c r="B49" s="9" t="n"/>
      <c r="C49" s="9" t="n"/>
      <c r="D49" s="9" t="n"/>
      <c r="E49" s="9" t="n"/>
      <c r="F49" s="9" t="n"/>
    </row>
    <row r="50">
      <c r="A50" s="9" t="n"/>
      <c r="B50" s="9" t="n"/>
      <c r="C50" s="9" t="n"/>
      <c r="D50" s="9" t="n"/>
      <c r="E50" s="9" t="n"/>
      <c r="F50" s="9" t="n"/>
    </row>
    <row r="51">
      <c r="A51" s="9" t="n"/>
      <c r="B51" s="9" t="n"/>
      <c r="C51" s="9" t="n"/>
      <c r="D51" s="9" t="n"/>
      <c r="E51" s="9" t="n"/>
      <c r="F51" s="9" t="n"/>
    </row>
    <row r="52">
      <c r="A52" s="9" t="n"/>
      <c r="B52" s="9" t="n"/>
      <c r="C52" s="9" t="n"/>
      <c r="D52" s="9" t="n"/>
      <c r="E52" s="9" t="n"/>
      <c r="F52" s="9" t="n"/>
    </row>
    <row r="53">
      <c r="A53" s="9" t="n"/>
      <c r="B53" s="9" t="n"/>
      <c r="C53" s="9" t="n"/>
      <c r="D53" s="9" t="n"/>
      <c r="E53" s="9" t="n"/>
      <c r="F53" s="9" t="n"/>
    </row>
    <row r="54">
      <c r="A54" s="9" t="n"/>
      <c r="B54" s="9" t="n"/>
      <c r="C54" s="9" t="n"/>
      <c r="D54" s="9" t="n"/>
      <c r="E54" s="9" t="n"/>
      <c r="F54" s="9" t="n"/>
    </row>
    <row r="55">
      <c r="A55" s="9" t="n"/>
      <c r="B55" s="9" t="n"/>
      <c r="C55" s="9" t="n"/>
      <c r="D55" s="9" t="n"/>
      <c r="E55" s="9" t="n"/>
      <c r="F55" s="9" t="n"/>
    </row>
    <row r="56">
      <c r="A56" s="9" t="n"/>
      <c r="B56" s="9" t="n"/>
      <c r="C56" s="9" t="n"/>
      <c r="D56" s="9" t="n"/>
      <c r="E56" s="9" t="n"/>
      <c r="F56" s="9" t="n"/>
    </row>
    <row r="57">
      <c r="A57" s="9" t="n"/>
      <c r="B57" s="9" t="n"/>
      <c r="C57" s="9" t="n"/>
      <c r="D57" s="9" t="n"/>
      <c r="E57" s="9" t="n"/>
      <c r="F57" s="9" t="n"/>
    </row>
    <row r="58">
      <c r="A58" s="9" t="n"/>
      <c r="B58" s="9" t="n"/>
      <c r="C58" s="9" t="n"/>
      <c r="D58" s="9" t="n"/>
      <c r="E58" s="9" t="n"/>
      <c r="F58" s="9" t="n"/>
    </row>
    <row r="59">
      <c r="A59" s="9" t="n"/>
      <c r="B59" s="9" t="n"/>
      <c r="C59" s="9" t="n"/>
      <c r="D59" s="9" t="n"/>
      <c r="E59" s="9" t="n"/>
      <c r="F59" s="9" t="n"/>
    </row>
    <row r="60">
      <c r="A60" s="9" t="n"/>
      <c r="B60" s="9" t="n"/>
      <c r="C60" s="9" t="n"/>
      <c r="D60" s="9" t="n"/>
      <c r="E60" s="9" t="n"/>
      <c r="F60" s="9" t="n"/>
    </row>
    <row r="61">
      <c r="A61" s="9" t="n"/>
      <c r="B61" s="9" t="n"/>
      <c r="C61" s="9" t="n"/>
      <c r="D61" s="9" t="n"/>
      <c r="E61" s="9" t="n"/>
      <c r="F61" s="9" t="n"/>
    </row>
    <row r="62">
      <c r="A62" s="9" t="n"/>
      <c r="B62" s="9" t="n"/>
      <c r="C62" s="9" t="n"/>
      <c r="D62" s="9" t="n"/>
      <c r="E62" s="9" t="n"/>
      <c r="F62" s="9" t="n"/>
    </row>
    <row r="63">
      <c r="A63" s="9" t="n"/>
      <c r="B63" s="9" t="n"/>
      <c r="C63" s="9" t="n"/>
      <c r="D63" s="9" t="n"/>
      <c r="E63" s="9" t="n"/>
      <c r="F63" s="9" t="n"/>
    </row>
    <row r="64">
      <c r="A64" s="9" t="n"/>
      <c r="B64" s="9" t="n"/>
      <c r="C64" s="9" t="n"/>
      <c r="D64" s="9" t="n"/>
      <c r="E64" s="9" t="n"/>
      <c r="F64" s="9" t="n"/>
    </row>
    <row r="65">
      <c r="A65" s="9" t="n"/>
      <c r="B65" s="9" t="n"/>
      <c r="C65" s="9" t="n"/>
      <c r="D65" s="9" t="n"/>
      <c r="E65" s="9" t="n"/>
      <c r="F65" s="9" t="n"/>
    </row>
    <row r="66">
      <c r="A66" s="9" t="n"/>
      <c r="B66" s="9" t="n"/>
      <c r="C66" s="9" t="n"/>
      <c r="D66" s="9" t="n"/>
      <c r="E66" s="9" t="n"/>
      <c r="F66" s="9" t="n"/>
    </row>
    <row r="67">
      <c r="A67" s="9" t="n"/>
      <c r="B67" s="9" t="n"/>
      <c r="C67" s="9" t="n"/>
      <c r="D67" s="9" t="n"/>
      <c r="E67" s="9" t="n"/>
      <c r="F67" s="9" t="n"/>
    </row>
    <row r="68">
      <c r="A68" s="9" t="n"/>
      <c r="B68" s="9" t="n"/>
      <c r="C68" s="9" t="n"/>
      <c r="D68" s="9" t="n"/>
      <c r="E68" s="9" t="n"/>
      <c r="F68" s="9" t="n"/>
    </row>
    <row r="69">
      <c r="A69" s="9" t="n"/>
      <c r="B69" s="9" t="n"/>
      <c r="C69" s="9" t="n"/>
      <c r="D69" s="9" t="n"/>
      <c r="E69" s="9" t="n"/>
      <c r="F69" s="9" t="n"/>
    </row>
    <row r="70">
      <c r="A70" s="9" t="n"/>
      <c r="B70" s="9" t="n"/>
      <c r="C70" s="9" t="n"/>
      <c r="D70" s="9" t="n"/>
      <c r="E70" s="9" t="n"/>
      <c r="F70" s="9" t="n"/>
    </row>
    <row r="71">
      <c r="A71" s="9" t="n"/>
      <c r="B71" s="9" t="n"/>
      <c r="C71" s="9" t="n"/>
      <c r="D71" s="9" t="n"/>
      <c r="E71" s="9" t="n"/>
      <c r="F71" s="9" t="n"/>
    </row>
    <row r="72">
      <c r="A72" s="9" t="n"/>
      <c r="B72" s="9" t="n"/>
      <c r="C72" s="9" t="n"/>
      <c r="D72" s="9" t="n"/>
      <c r="E72" s="9" t="n"/>
      <c r="F72" s="9" t="n"/>
    </row>
    <row r="73">
      <c r="A73" s="9" t="n"/>
      <c r="B73" s="9" t="n"/>
      <c r="C73" s="9" t="n"/>
      <c r="D73" s="9" t="n"/>
      <c r="E73" s="9" t="n"/>
      <c r="F73" s="9" t="n"/>
    </row>
    <row r="74">
      <c r="A74" s="9" t="n"/>
      <c r="B74" s="9" t="n"/>
      <c r="C74" s="9" t="n"/>
      <c r="D74" s="9" t="n"/>
      <c r="E74" s="9" t="n"/>
      <c r="F74" s="9" t="n"/>
    </row>
    <row r="75">
      <c r="A75" s="9" t="n"/>
      <c r="B75" s="9" t="n"/>
      <c r="C75" s="9" t="n"/>
      <c r="D75" s="9" t="n"/>
      <c r="E75" s="9" t="n"/>
      <c r="F75" s="9" t="n"/>
    </row>
    <row r="76">
      <c r="A76" s="9" t="n"/>
      <c r="B76" s="9" t="n"/>
      <c r="C76" s="9" t="n"/>
      <c r="D76" s="9" t="n"/>
      <c r="E76" s="9" t="n"/>
      <c r="F76" s="9" t="n"/>
    </row>
    <row r="77">
      <c r="A77" s="9" t="n"/>
      <c r="B77" s="9" t="n"/>
      <c r="C77" s="9" t="n"/>
      <c r="D77" s="9" t="n"/>
      <c r="E77" s="9" t="n"/>
      <c r="F77" s="9" t="n"/>
    </row>
    <row r="78">
      <c r="A78" s="9" t="n"/>
      <c r="B78" s="9" t="n"/>
      <c r="C78" s="9" t="n"/>
      <c r="D78" s="9" t="n"/>
      <c r="E78" s="9" t="n"/>
      <c r="F78" s="9" t="n"/>
    </row>
    <row r="79">
      <c r="A79" s="9" t="n"/>
      <c r="B79" s="9" t="n"/>
      <c r="C79" s="9" t="n"/>
      <c r="D79" s="9" t="n"/>
      <c r="E79" s="9" t="n"/>
      <c r="F79" s="9" t="n"/>
    </row>
    <row r="80">
      <c r="A80" s="9" t="n"/>
      <c r="B80" s="9" t="n"/>
      <c r="C80" s="9" t="n"/>
      <c r="D80" s="9" t="n"/>
      <c r="E80" s="9" t="n"/>
      <c r="F80" s="9" t="n"/>
    </row>
    <row r="81">
      <c r="A81" s="9" t="n"/>
      <c r="B81" s="9" t="n"/>
      <c r="C81" s="9" t="n"/>
      <c r="D81" s="9" t="n"/>
      <c r="E81" s="9" t="n"/>
      <c r="F81" s="9" t="n"/>
    </row>
    <row r="82">
      <c r="A82" s="9" t="n"/>
      <c r="B82" s="9" t="n"/>
      <c r="C82" s="9" t="n"/>
      <c r="D82" s="9" t="n"/>
      <c r="E82" s="9" t="n"/>
      <c r="F82" s="9" t="n"/>
    </row>
    <row r="83">
      <c r="A83" s="9" t="n"/>
      <c r="B83" s="9" t="n"/>
      <c r="C83" s="9" t="n"/>
      <c r="D83" s="9" t="n"/>
      <c r="E83" s="9" t="n"/>
      <c r="F83" s="9" t="n"/>
    </row>
    <row r="84">
      <c r="A84" s="9" t="n"/>
      <c r="B84" s="9" t="n"/>
      <c r="C84" s="9" t="n"/>
      <c r="D84" s="9" t="n"/>
      <c r="E84" s="9" t="n"/>
      <c r="F84" s="9" t="n"/>
    </row>
    <row r="85">
      <c r="A85" s="9" t="n"/>
      <c r="B85" s="9" t="n"/>
      <c r="C85" s="9" t="n"/>
      <c r="D85" s="9" t="n"/>
      <c r="E85" s="9" t="n"/>
      <c r="F85" s="9" t="n"/>
    </row>
    <row r="86">
      <c r="A86" s="9" t="n"/>
      <c r="B86" s="9" t="n"/>
      <c r="C86" s="9" t="n"/>
      <c r="D86" s="9" t="n"/>
      <c r="E86" s="9" t="n"/>
      <c r="F86" s="9" t="n"/>
    </row>
    <row r="87">
      <c r="A87" s="9" t="n"/>
      <c r="B87" s="9" t="n"/>
      <c r="C87" s="9" t="n"/>
      <c r="D87" s="9" t="n"/>
      <c r="E87" s="9" t="n"/>
      <c r="F87" s="9" t="n"/>
    </row>
    <row r="88">
      <c r="A88" s="9" t="n"/>
      <c r="B88" s="9" t="n"/>
      <c r="C88" s="9" t="n"/>
      <c r="D88" s="9" t="n"/>
      <c r="E88" s="9" t="n"/>
      <c r="F88" s="9" t="n"/>
    </row>
    <row r="89">
      <c r="A89" s="9" t="n"/>
      <c r="B89" s="9" t="n"/>
      <c r="C89" s="9" t="n"/>
      <c r="D89" s="9" t="n"/>
      <c r="E89" s="9" t="n"/>
      <c r="F89" s="9" t="n"/>
    </row>
    <row r="90">
      <c r="A90" s="9" t="n"/>
      <c r="B90" s="9" t="n"/>
      <c r="C90" s="9" t="n"/>
      <c r="D90" s="9" t="n"/>
      <c r="E90" s="9" t="n"/>
      <c r="F90" s="9" t="n"/>
    </row>
    <row r="91">
      <c r="A91" s="9" t="n"/>
      <c r="B91" s="9" t="n"/>
      <c r="C91" s="9" t="n"/>
      <c r="D91" s="9" t="n"/>
      <c r="E91" s="9" t="n"/>
      <c r="F91" s="9" t="n"/>
    </row>
    <row r="92">
      <c r="A92" s="9" t="n"/>
      <c r="B92" s="9" t="n"/>
      <c r="C92" s="9" t="n"/>
      <c r="D92" s="9" t="n"/>
      <c r="E92" s="9" t="n"/>
      <c r="F92" s="9" t="n"/>
    </row>
    <row r="93">
      <c r="A93" s="9" t="n"/>
      <c r="B93" s="9" t="n"/>
      <c r="C93" s="9" t="n"/>
      <c r="D93" s="9" t="n"/>
      <c r="E93" s="9" t="n"/>
      <c r="F93" s="9" t="n"/>
    </row>
    <row r="94">
      <c r="A94" s="9" t="n"/>
      <c r="B94" s="9" t="n"/>
      <c r="C94" s="9" t="n"/>
      <c r="D94" s="9" t="n"/>
      <c r="E94" s="9" t="n"/>
      <c r="F94" s="9" t="n"/>
    </row>
    <row r="95">
      <c r="A95" s="9" t="n"/>
      <c r="B95" s="9" t="n"/>
      <c r="C95" s="9" t="n"/>
      <c r="D95" s="9" t="n"/>
      <c r="E95" s="9" t="n"/>
      <c r="F95" s="9" t="n"/>
    </row>
    <row r="96">
      <c r="A96" s="9" t="n"/>
      <c r="B96" s="9" t="n"/>
      <c r="C96" s="9" t="n"/>
      <c r="D96" s="9" t="n"/>
      <c r="E96" s="9" t="n"/>
      <c r="F96" s="9" t="n"/>
    </row>
    <row r="97">
      <c r="A97" s="9" t="n"/>
      <c r="B97" s="9" t="n"/>
      <c r="C97" s="9" t="n"/>
      <c r="D97" s="9" t="n"/>
      <c r="E97" s="9" t="n"/>
      <c r="F97" s="9" t="n"/>
    </row>
    <row r="98">
      <c r="A98" s="9" t="n"/>
      <c r="B98" s="9" t="n"/>
      <c r="C98" s="9" t="n"/>
      <c r="D98" s="9" t="n"/>
      <c r="E98" s="9" t="n"/>
      <c r="F98" s="9" t="n"/>
    </row>
    <row r="99">
      <c r="A99" s="9" t="n"/>
      <c r="B99" s="9" t="n"/>
      <c r="C99" s="9" t="n"/>
      <c r="D99" s="9" t="n"/>
      <c r="E99" s="9" t="n"/>
      <c r="F99" s="9" t="n"/>
    </row>
    <row r="100">
      <c r="A100" s="9" t="n"/>
      <c r="B100" s="9" t="n"/>
      <c r="C100" s="9" t="n"/>
      <c r="D100" s="9" t="n"/>
      <c r="E100" s="9" t="n"/>
      <c r="F100" s="9" t="n"/>
    </row>
    <row r="101">
      <c r="A101" s="9" t="n"/>
      <c r="B101" s="9" t="n"/>
      <c r="C101" s="9" t="n"/>
      <c r="D101" s="9" t="n"/>
      <c r="E101" s="9" t="n"/>
      <c r="F101" s="9" t="n"/>
    </row>
    <row r="102">
      <c r="A102" s="9" t="n"/>
      <c r="B102" s="9" t="n"/>
      <c r="C102" s="9" t="n"/>
      <c r="D102" s="9" t="n"/>
      <c r="E102" s="9" t="n"/>
      <c r="F102" s="9" t="n"/>
    </row>
    <row r="103">
      <c r="A103" s="9" t="n"/>
      <c r="B103" s="9" t="n"/>
      <c r="C103" s="9" t="n"/>
      <c r="D103" s="9" t="n"/>
      <c r="E103" s="9" t="n"/>
      <c r="F103" s="9" t="n"/>
    </row>
    <row r="104">
      <c r="A104" s="9" t="n"/>
      <c r="B104" s="9" t="n"/>
      <c r="C104" s="9" t="n"/>
      <c r="D104" s="9" t="n"/>
      <c r="E104" s="9" t="n"/>
      <c r="F104" s="9" t="n"/>
    </row>
    <row r="105">
      <c r="A105" s="9" t="n"/>
      <c r="B105" s="9" t="n"/>
      <c r="C105" s="9" t="n"/>
      <c r="D105" s="9" t="n"/>
      <c r="E105" s="9" t="n"/>
      <c r="F105" s="9" t="n"/>
    </row>
    <row r="106">
      <c r="A106" s="9" t="n"/>
      <c r="B106" s="9" t="n"/>
      <c r="C106" s="9" t="n"/>
      <c r="D106" s="9" t="n"/>
      <c r="E106" s="9" t="n"/>
      <c r="F106" s="9" t="n"/>
    </row>
    <row r="107">
      <c r="A107" s="9" t="n"/>
      <c r="B107" s="9" t="n"/>
      <c r="C107" s="9" t="n"/>
      <c r="D107" s="9" t="n"/>
      <c r="E107" s="9" t="n"/>
      <c r="F107" s="9" t="n"/>
    </row>
    <row r="108">
      <c r="A108" s="9" t="n"/>
      <c r="B108" s="9" t="n"/>
      <c r="C108" s="9" t="n"/>
      <c r="D108" s="9" t="n"/>
      <c r="E108" s="9" t="n"/>
      <c r="F108" s="9" t="n"/>
    </row>
    <row r="109">
      <c r="A109" s="9" t="n"/>
      <c r="B109" s="9" t="n"/>
      <c r="C109" s="9" t="n"/>
      <c r="D109" s="9" t="n"/>
      <c r="E109" s="9" t="n"/>
      <c r="F109" s="9" t="n"/>
    </row>
    <row r="110">
      <c r="A110" s="9" t="n"/>
      <c r="B110" s="9" t="n"/>
      <c r="C110" s="9" t="n"/>
      <c r="D110" s="9" t="n"/>
      <c r="E110" s="9" t="n"/>
      <c r="F110" s="9" t="n"/>
    </row>
    <row r="111">
      <c r="A111" s="9" t="n"/>
      <c r="B111" s="9" t="n"/>
      <c r="C111" s="9" t="n"/>
      <c r="D111" s="9" t="n"/>
      <c r="E111" s="9" t="n"/>
      <c r="F111" s="9" t="n"/>
    </row>
    <row r="112">
      <c r="A112" s="9" t="n"/>
      <c r="B112" s="9" t="n"/>
      <c r="C112" s="9" t="n"/>
      <c r="D112" s="9" t="n"/>
      <c r="E112" s="9" t="n"/>
      <c r="F112" s="9" t="n"/>
    </row>
    <row r="113">
      <c r="A113" s="9" t="n"/>
      <c r="B113" s="9" t="n"/>
      <c r="C113" s="9" t="n"/>
      <c r="D113" s="9" t="n"/>
      <c r="E113" s="9" t="n"/>
      <c r="F113" s="9" t="n"/>
    </row>
    <row r="114">
      <c r="A114" s="9" t="n"/>
      <c r="B114" s="9" t="n"/>
      <c r="C114" s="9" t="n"/>
      <c r="D114" s="9" t="n"/>
      <c r="E114" s="9" t="n"/>
      <c r="F114" s="9" t="n"/>
    </row>
    <row r="115">
      <c r="A115" s="9" t="n"/>
      <c r="B115" s="9" t="n"/>
      <c r="C115" s="9" t="n"/>
      <c r="D115" s="9" t="n"/>
      <c r="E115" s="9" t="n"/>
      <c r="F115" s="9" t="n"/>
    </row>
    <row r="116">
      <c r="A116" s="9" t="n"/>
      <c r="B116" s="9" t="n"/>
      <c r="C116" s="9" t="n"/>
      <c r="D116" s="9" t="n"/>
      <c r="E116" s="9" t="n"/>
      <c r="F116" s="9" t="n"/>
    </row>
    <row r="117">
      <c r="A117" s="9" t="n"/>
      <c r="B117" s="9" t="n"/>
      <c r="C117" s="9" t="n"/>
      <c r="D117" s="9" t="n"/>
      <c r="E117" s="9" t="n"/>
      <c r="F117" s="9" t="n"/>
    </row>
    <row r="118">
      <c r="A118" s="9" t="n"/>
      <c r="B118" s="9" t="n"/>
      <c r="C118" s="9" t="n"/>
      <c r="D118" s="9" t="n"/>
      <c r="E118" s="9" t="n"/>
      <c r="F118" s="9" t="n"/>
    </row>
    <row r="119">
      <c r="A119" s="9" t="n"/>
      <c r="B119" s="9" t="n"/>
      <c r="C119" s="9" t="n"/>
      <c r="D119" s="9" t="n"/>
      <c r="E119" s="9" t="n"/>
      <c r="F119" s="9" t="n"/>
    </row>
    <row r="120">
      <c r="A120" s="9" t="n"/>
      <c r="B120" s="9" t="n"/>
      <c r="C120" s="9" t="n"/>
      <c r="D120" s="9" t="n"/>
      <c r="E120" s="9" t="n"/>
      <c r="F120" s="9" t="n"/>
    </row>
    <row r="121">
      <c r="A121" s="9" t="n"/>
      <c r="B121" s="9" t="n"/>
      <c r="C121" s="9" t="n"/>
      <c r="D121" s="9" t="n"/>
      <c r="E121" s="9" t="n"/>
      <c r="F121" s="9" t="n"/>
    </row>
    <row r="122">
      <c r="A122" s="9" t="n"/>
      <c r="B122" s="9" t="n"/>
      <c r="C122" s="9" t="n"/>
      <c r="D122" s="9" t="n"/>
      <c r="E122" s="9" t="n"/>
      <c r="F122" s="9" t="n"/>
    </row>
    <row r="123">
      <c r="A123" s="9" t="n"/>
      <c r="B123" s="9" t="n"/>
      <c r="C123" s="9" t="n"/>
      <c r="D123" s="9" t="n"/>
      <c r="E123" s="9" t="n"/>
      <c r="F123" s="9" t="n"/>
    </row>
    <row r="124">
      <c r="A124" s="9" t="n"/>
      <c r="B124" s="9" t="n"/>
      <c r="C124" s="9" t="n"/>
      <c r="D124" s="9" t="n"/>
      <c r="E124" s="9" t="n"/>
      <c r="F124" s="9" t="n"/>
    </row>
    <row r="125">
      <c r="A125" s="9" t="n"/>
      <c r="B125" s="9" t="n"/>
      <c r="C125" s="9" t="n"/>
      <c r="D125" s="9" t="n"/>
      <c r="E125" s="9" t="n"/>
      <c r="F125" s="9" t="n"/>
    </row>
    <row r="126">
      <c r="A126" s="9" t="n"/>
      <c r="B126" s="9" t="n"/>
      <c r="C126" s="9" t="n"/>
      <c r="D126" s="9" t="n"/>
      <c r="E126" s="9" t="n"/>
      <c r="F126" s="9" t="n"/>
    </row>
    <row r="127">
      <c r="A127" s="9" t="n"/>
      <c r="B127" s="9" t="n"/>
      <c r="C127" s="9" t="n"/>
      <c r="D127" s="9" t="n"/>
      <c r="E127" s="9" t="n"/>
      <c r="F127" s="9" t="n"/>
    </row>
    <row r="128">
      <c r="A128" s="9" t="n"/>
      <c r="B128" s="9" t="n"/>
      <c r="C128" s="9" t="n"/>
      <c r="D128" s="9" t="n"/>
      <c r="E128" s="9" t="n"/>
      <c r="F128" s="9" t="n"/>
    </row>
    <row r="129">
      <c r="A129" s="9" t="n"/>
      <c r="B129" s="9" t="n"/>
      <c r="C129" s="9" t="n"/>
      <c r="D129" s="9" t="n"/>
      <c r="E129" s="9" t="n"/>
      <c r="F129" s="9" t="n"/>
    </row>
    <row r="130">
      <c r="A130" s="9" t="n"/>
      <c r="B130" s="9" t="n"/>
      <c r="C130" s="9" t="n"/>
      <c r="D130" s="9" t="n"/>
      <c r="E130" s="9" t="n"/>
      <c r="F130" s="9" t="n"/>
    </row>
    <row r="131">
      <c r="A131" s="9" t="n"/>
      <c r="B131" s="9" t="n"/>
      <c r="C131" s="9" t="n"/>
      <c r="D131" s="9" t="n"/>
      <c r="E131" s="9" t="n"/>
      <c r="F131" s="9" t="n"/>
    </row>
    <row r="132">
      <c r="A132" s="9" t="n"/>
      <c r="B132" s="9" t="n"/>
      <c r="C132" s="9" t="n"/>
      <c r="D132" s="9" t="n"/>
      <c r="E132" s="9" t="n"/>
      <c r="F132" s="9" t="n"/>
    </row>
    <row r="133">
      <c r="A133" s="9" t="n"/>
      <c r="B133" s="9" t="n"/>
      <c r="C133" s="9" t="n"/>
      <c r="D133" s="9" t="n"/>
      <c r="E133" s="9" t="n"/>
      <c r="F133" s="9" t="n"/>
    </row>
    <row r="134">
      <c r="A134" s="9" t="n"/>
      <c r="B134" s="9" t="n"/>
      <c r="C134" s="9" t="n"/>
      <c r="D134" s="9" t="n"/>
      <c r="E134" s="9" t="n"/>
      <c r="F134" s="9" t="n"/>
    </row>
    <row r="135">
      <c r="A135" s="9" t="n"/>
      <c r="B135" s="9" t="n"/>
      <c r="C135" s="9" t="n"/>
      <c r="D135" s="9" t="n"/>
      <c r="E135" s="9" t="n"/>
      <c r="F135" s="9" t="n"/>
    </row>
    <row r="136">
      <c r="A136" s="9" t="n"/>
      <c r="B136" s="9" t="n"/>
      <c r="C136" s="9" t="n"/>
      <c r="D136" s="9" t="n"/>
      <c r="E136" s="9" t="n"/>
      <c r="F136" s="9" t="n"/>
    </row>
    <row r="137">
      <c r="A137" s="9" t="n"/>
      <c r="B137" s="9" t="n"/>
      <c r="C137" s="9" t="n"/>
      <c r="D137" s="9" t="n"/>
      <c r="E137" s="9" t="n"/>
      <c r="F137" s="9" t="n"/>
    </row>
    <row r="138">
      <c r="A138" s="9" t="n"/>
      <c r="B138" s="9" t="n"/>
      <c r="C138" s="9" t="n"/>
      <c r="D138" s="9" t="n"/>
      <c r="E138" s="9" t="n"/>
      <c r="F138" s="9" t="n"/>
    </row>
    <row r="139">
      <c r="A139" s="9" t="n"/>
      <c r="B139" s="9" t="n"/>
      <c r="C139" s="9" t="n"/>
      <c r="D139" s="9" t="n"/>
      <c r="E139" s="9" t="n"/>
      <c r="F139" s="9" t="n"/>
    </row>
    <row r="140">
      <c r="A140" s="9" t="n"/>
      <c r="B140" s="9" t="n"/>
      <c r="C140" s="9" t="n"/>
      <c r="D140" s="9" t="n"/>
      <c r="E140" s="9" t="n"/>
      <c r="F140" s="9" t="n"/>
    </row>
    <row r="141">
      <c r="A141" s="9" t="n"/>
      <c r="B141" s="9" t="n"/>
      <c r="C141" s="9" t="n"/>
      <c r="D141" s="9" t="n"/>
      <c r="E141" s="9" t="n"/>
      <c r="F141" s="9" t="n"/>
    </row>
    <row r="142">
      <c r="A142" s="9" t="n"/>
      <c r="B142" s="9" t="n"/>
      <c r="C142" s="9" t="n"/>
      <c r="D142" s="9" t="n"/>
      <c r="E142" s="9" t="n"/>
      <c r="F142" s="9" t="n"/>
    </row>
    <row r="143">
      <c r="A143" s="9" t="n"/>
      <c r="B143" s="9" t="n"/>
      <c r="C143" s="9" t="n"/>
      <c r="D143" s="9" t="n"/>
      <c r="E143" s="9" t="n"/>
      <c r="F143" s="9" t="n"/>
    </row>
    <row r="144">
      <c r="A144" s="9" t="n"/>
      <c r="B144" s="9" t="n"/>
      <c r="C144" s="9" t="n"/>
      <c r="D144" s="9" t="n"/>
      <c r="E144" s="9" t="n"/>
      <c r="F144" s="9" t="n"/>
    </row>
    <row r="145">
      <c r="A145" s="9" t="n"/>
      <c r="B145" s="9" t="n"/>
      <c r="C145" s="9" t="n"/>
      <c r="D145" s="9" t="n"/>
      <c r="E145" s="9" t="n"/>
      <c r="F145" s="9" t="n"/>
    </row>
    <row r="146">
      <c r="A146" s="9" t="n"/>
      <c r="B146" s="9" t="n"/>
      <c r="C146" s="9" t="n"/>
      <c r="D146" s="9" t="n"/>
      <c r="E146" s="9" t="n"/>
      <c r="F146" s="9" t="n"/>
    </row>
    <row r="147">
      <c r="A147" s="9" t="n"/>
      <c r="B147" s="9" t="n"/>
      <c r="C147" s="9" t="n"/>
      <c r="D147" s="9" t="n"/>
      <c r="E147" s="9" t="n"/>
      <c r="F147" s="9" t="n"/>
    </row>
    <row r="148">
      <c r="A148" s="9" t="n"/>
      <c r="B148" s="9" t="n"/>
      <c r="C148" s="9" t="n"/>
      <c r="D148" s="9" t="n"/>
      <c r="E148" s="9" t="n"/>
      <c r="F148" s="9" t="n"/>
    </row>
    <row r="149">
      <c r="A149" s="9" t="n"/>
      <c r="B149" s="9" t="n"/>
      <c r="C149" s="9" t="n"/>
      <c r="D149" s="9" t="n"/>
      <c r="E149" s="9" t="n"/>
      <c r="F149" s="9" t="n"/>
    </row>
    <row r="150">
      <c r="A150" s="9" t="n"/>
      <c r="B150" s="9" t="n"/>
      <c r="C150" s="9" t="n"/>
      <c r="D150" s="9" t="n"/>
      <c r="E150" s="9" t="n"/>
      <c r="F150" s="9" t="n"/>
    </row>
    <row r="151">
      <c r="A151" s="9" t="n"/>
      <c r="B151" s="9" t="n"/>
      <c r="C151" s="9" t="n"/>
      <c r="D151" s="9" t="n"/>
      <c r="E151" s="9" t="n"/>
      <c r="F151" s="9" t="n"/>
    </row>
    <row r="152">
      <c r="A152" s="9" t="n"/>
      <c r="B152" s="9" t="n"/>
      <c r="C152" s="9" t="n"/>
      <c r="D152" s="9" t="n"/>
      <c r="E152" s="9" t="n"/>
      <c r="F152" s="9" t="n"/>
    </row>
    <row r="153">
      <c r="A153" s="9" t="n"/>
      <c r="B153" s="9" t="n"/>
      <c r="C153" s="9" t="n"/>
      <c r="D153" s="9" t="n"/>
      <c r="E153" s="9" t="n"/>
      <c r="F153" s="9" t="n"/>
    </row>
    <row r="154">
      <c r="A154" s="9" t="n"/>
      <c r="B154" s="9" t="n"/>
      <c r="C154" s="9" t="n"/>
      <c r="D154" s="9" t="n"/>
      <c r="E154" s="9" t="n"/>
      <c r="F154" s="9" t="n"/>
    </row>
    <row r="155">
      <c r="A155" s="9" t="n"/>
      <c r="B155" s="9" t="n"/>
      <c r="C155" s="9" t="n"/>
      <c r="D155" s="9" t="n"/>
      <c r="E155" s="9" t="n"/>
      <c r="F155" s="9" t="n"/>
    </row>
    <row r="156">
      <c r="A156" s="9" t="n"/>
      <c r="B156" s="9" t="n"/>
      <c r="C156" s="9" t="n"/>
      <c r="D156" s="9" t="n"/>
      <c r="E156" s="9" t="n"/>
      <c r="F156" s="9" t="n"/>
    </row>
    <row r="157">
      <c r="A157" s="9" t="n"/>
      <c r="B157" s="9" t="n"/>
      <c r="C157" s="9" t="n"/>
      <c r="D157" s="9" t="n"/>
      <c r="E157" s="9" t="n"/>
      <c r="F157" s="9" t="n"/>
    </row>
    <row r="158">
      <c r="A158" s="9" t="n"/>
      <c r="B158" s="9" t="n"/>
      <c r="C158" s="9" t="n"/>
      <c r="D158" s="9" t="n"/>
      <c r="E158" s="9" t="n"/>
      <c r="F158" s="9" t="n"/>
    </row>
    <row r="159">
      <c r="A159" s="9" t="n"/>
      <c r="B159" s="9" t="n"/>
      <c r="C159" s="9" t="n"/>
      <c r="D159" s="9" t="n"/>
      <c r="E159" s="9" t="n"/>
      <c r="F159" s="9" t="n"/>
    </row>
    <row r="160">
      <c r="A160" s="9" t="n"/>
      <c r="B160" s="9" t="n"/>
      <c r="C160" s="9" t="n"/>
      <c r="D160" s="9" t="n"/>
      <c r="E160" s="9" t="n"/>
      <c r="F160" s="9" t="n"/>
    </row>
    <row r="161">
      <c r="A161" s="9" t="n"/>
      <c r="B161" s="9" t="n"/>
      <c r="C161" s="9" t="n"/>
      <c r="D161" s="9" t="n"/>
      <c r="E161" s="9" t="n"/>
      <c r="F161" s="9" t="n"/>
    </row>
    <row r="162">
      <c r="A162" s="9" t="n"/>
      <c r="B162" s="9" t="n"/>
      <c r="C162" s="9" t="n"/>
      <c r="D162" s="9" t="n"/>
      <c r="E162" s="9" t="n"/>
      <c r="F162" s="9" t="n"/>
    </row>
    <row r="163">
      <c r="A163" s="9" t="n"/>
      <c r="B163" s="9" t="n"/>
      <c r="C163" s="9" t="n"/>
      <c r="D163" s="9" t="n"/>
      <c r="E163" s="9" t="n"/>
      <c r="F163" s="9" t="n"/>
    </row>
    <row r="164">
      <c r="A164" s="9" t="n"/>
      <c r="B164" s="9" t="n"/>
      <c r="C164" s="9" t="n"/>
      <c r="D164" s="9" t="n"/>
      <c r="E164" s="9" t="n"/>
      <c r="F164" s="9" t="n"/>
    </row>
    <row r="165">
      <c r="A165" s="9" t="n"/>
      <c r="B165" s="9" t="n"/>
      <c r="C165" s="9" t="n"/>
      <c r="D165" s="9" t="n"/>
      <c r="E165" s="9" t="n"/>
      <c r="F165" s="9" t="n"/>
    </row>
    <row r="166">
      <c r="A166" s="9" t="n"/>
      <c r="B166" s="9" t="n"/>
      <c r="C166" s="9" t="n"/>
      <c r="D166" s="9" t="n"/>
      <c r="E166" s="9" t="n"/>
      <c r="F166" s="9" t="n"/>
    </row>
    <row r="167">
      <c r="A167" s="9" t="n"/>
      <c r="B167" s="9" t="n"/>
      <c r="C167" s="9" t="n"/>
      <c r="D167" s="9" t="n"/>
      <c r="E167" s="9" t="n"/>
      <c r="F167" s="9" t="n"/>
    </row>
    <row r="168">
      <c r="A168" s="9" t="n"/>
      <c r="B168" s="9" t="n"/>
      <c r="C168" s="9" t="n"/>
      <c r="D168" s="9" t="n"/>
      <c r="E168" s="9" t="n"/>
      <c r="F168" s="9" t="n"/>
    </row>
    <row r="169">
      <c r="A169" s="9" t="n"/>
      <c r="B169" s="9" t="n"/>
      <c r="C169" s="9" t="n"/>
      <c r="D169" s="9" t="n"/>
      <c r="E169" s="9" t="n"/>
      <c r="F169" s="9" t="n"/>
    </row>
    <row r="170">
      <c r="A170" s="9" t="n"/>
      <c r="B170" s="9" t="n"/>
      <c r="C170" s="9" t="n"/>
      <c r="D170" s="9" t="n"/>
      <c r="E170" s="9" t="n"/>
      <c r="F170" s="9" t="n"/>
    </row>
    <row r="171">
      <c r="A171" s="9" t="n"/>
      <c r="B171" s="9" t="n"/>
      <c r="C171" s="9" t="n"/>
      <c r="D171" s="9" t="n"/>
      <c r="E171" s="9" t="n"/>
      <c r="F171" s="9" t="n"/>
    </row>
    <row r="172">
      <c r="A172" s="9" t="n"/>
      <c r="B172" s="9" t="n"/>
      <c r="C172" s="9" t="n"/>
      <c r="D172" s="9" t="n"/>
      <c r="E172" s="9" t="n"/>
      <c r="F172" s="9" t="n"/>
    </row>
    <row r="173">
      <c r="A173" s="9" t="n"/>
      <c r="B173" s="9" t="n"/>
      <c r="C173" s="9" t="n"/>
      <c r="D173" s="9" t="n"/>
      <c r="E173" s="9" t="n"/>
      <c r="F173" s="9" t="n"/>
    </row>
    <row r="174">
      <c r="A174" s="9" t="n"/>
      <c r="B174" s="9" t="n"/>
      <c r="C174" s="9" t="n"/>
      <c r="D174" s="9" t="n"/>
      <c r="E174" s="9" t="n"/>
      <c r="F174" s="9" t="n"/>
    </row>
    <row r="175">
      <c r="A175" s="9" t="n"/>
      <c r="B175" s="9" t="n"/>
      <c r="C175" s="9" t="n"/>
      <c r="D175" s="9" t="n"/>
      <c r="E175" s="9" t="n"/>
      <c r="F175" s="9" t="n"/>
    </row>
    <row r="176">
      <c r="A176" s="9" t="n"/>
      <c r="B176" s="9" t="n"/>
      <c r="C176" s="9" t="n"/>
      <c r="D176" s="9" t="n"/>
      <c r="E176" s="9" t="n"/>
      <c r="F176" s="9" t="n"/>
    </row>
    <row r="177">
      <c r="A177" s="9" t="n"/>
      <c r="B177" s="9" t="n"/>
      <c r="C177" s="9" t="n"/>
      <c r="D177" s="9" t="n"/>
      <c r="E177" s="9" t="n"/>
      <c r="F177" s="9" t="n"/>
    </row>
    <row r="178">
      <c r="A178" s="9" t="n"/>
      <c r="B178" s="9" t="n"/>
      <c r="C178" s="9" t="n"/>
      <c r="D178" s="9" t="n"/>
      <c r="E178" s="9" t="n"/>
      <c r="F178" s="9" t="n"/>
    </row>
    <row r="179">
      <c r="A179" s="9" t="n"/>
      <c r="B179" s="9" t="n"/>
      <c r="C179" s="9" t="n"/>
      <c r="D179" s="9" t="n"/>
      <c r="E179" s="9" t="n"/>
      <c r="F179" s="9" t="n"/>
    </row>
    <row r="180">
      <c r="A180" s="9" t="n"/>
      <c r="B180" s="9" t="n"/>
      <c r="C180" s="9" t="n"/>
      <c r="D180" s="9" t="n"/>
      <c r="E180" s="9" t="n"/>
      <c r="F180" s="9" t="n"/>
    </row>
    <row r="181">
      <c r="A181" s="9" t="n"/>
      <c r="B181" s="9" t="n"/>
      <c r="C181" s="9" t="n"/>
      <c r="D181" s="9" t="n"/>
      <c r="E181" s="9" t="n"/>
      <c r="F181" s="9" t="n"/>
    </row>
    <row r="182">
      <c r="A182" s="9" t="n"/>
      <c r="B182" s="9" t="n"/>
      <c r="C182" s="9" t="n"/>
      <c r="D182" s="9" t="n"/>
      <c r="E182" s="9" t="n"/>
      <c r="F182" s="9" t="n"/>
    </row>
    <row r="183">
      <c r="A183" s="9" t="n"/>
      <c r="B183" s="9" t="n"/>
      <c r="C183" s="9" t="n"/>
      <c r="D183" s="9" t="n"/>
      <c r="E183" s="9" t="n"/>
      <c r="F183" s="9" t="n"/>
    </row>
    <row r="184">
      <c r="A184" s="9" t="n"/>
      <c r="B184" s="9" t="n"/>
      <c r="C184" s="9" t="n"/>
      <c r="D184" s="9" t="n"/>
      <c r="E184" s="9" t="n"/>
      <c r="F184" s="9" t="n"/>
    </row>
    <row r="185">
      <c r="A185" s="9" t="n"/>
      <c r="B185" s="9" t="n"/>
      <c r="C185" s="9" t="n"/>
      <c r="D185" s="9" t="n"/>
      <c r="E185" s="9" t="n"/>
      <c r="F185" s="9" t="n"/>
    </row>
    <row r="186">
      <c r="A186" s="9" t="n"/>
      <c r="B186" s="9" t="n"/>
      <c r="C186" s="9" t="n"/>
      <c r="D186" s="9" t="n"/>
      <c r="E186" s="9" t="n"/>
      <c r="F186" s="9" t="n"/>
    </row>
    <row r="187">
      <c r="A187" s="9" t="n"/>
      <c r="B187" s="9" t="n"/>
      <c r="C187" s="9" t="n"/>
      <c r="D187" s="9" t="n"/>
      <c r="E187" s="9" t="n"/>
      <c r="F187" s="9" t="n"/>
    </row>
    <row r="188">
      <c r="A188" s="9" t="n"/>
      <c r="B188" s="9" t="n"/>
      <c r="C188" s="9" t="n"/>
      <c r="D188" s="9" t="n"/>
      <c r="E188" s="9" t="n"/>
      <c r="F188" s="9" t="n"/>
    </row>
    <row r="189">
      <c r="A189" s="9" t="n"/>
      <c r="B189" s="9" t="n"/>
      <c r="C189" s="9" t="n"/>
      <c r="D189" s="9" t="n"/>
      <c r="E189" s="9" t="n"/>
      <c r="F189" s="9" t="n"/>
    </row>
    <row r="190">
      <c r="A190" s="9" t="n"/>
      <c r="B190" s="9" t="n"/>
      <c r="C190" s="9" t="n"/>
      <c r="D190" s="9" t="n"/>
      <c r="E190" s="9" t="n"/>
      <c r="F190" s="9" t="n"/>
    </row>
    <row r="191">
      <c r="A191" s="9" t="n"/>
      <c r="B191" s="9" t="n"/>
      <c r="C191" s="9" t="n"/>
      <c r="D191" s="9" t="n"/>
      <c r="E191" s="9" t="n"/>
      <c r="F191" s="9" t="n"/>
    </row>
    <row r="192">
      <c r="A192" s="9" t="n"/>
      <c r="B192" s="9" t="n"/>
      <c r="C192" s="9" t="n"/>
      <c r="D192" s="9" t="n"/>
      <c r="E192" s="9" t="n"/>
      <c r="F192" s="9" t="n"/>
    </row>
    <row r="193">
      <c r="A193" s="9" t="n"/>
      <c r="B193" s="9" t="n"/>
      <c r="C193" s="9" t="n"/>
      <c r="D193" s="9" t="n"/>
      <c r="E193" s="9" t="n"/>
      <c r="F193" s="9" t="n"/>
    </row>
    <row r="194">
      <c r="A194" s="9" t="n"/>
      <c r="B194" s="9" t="n"/>
      <c r="C194" s="9" t="n"/>
      <c r="D194" s="9" t="n"/>
      <c r="E194" s="9" t="n"/>
      <c r="F194" s="9" t="n"/>
    </row>
    <row r="195">
      <c r="A195" s="9" t="n"/>
      <c r="B195" s="9" t="n"/>
      <c r="C195" s="9" t="n"/>
      <c r="D195" s="9" t="n"/>
      <c r="E195" s="9" t="n"/>
      <c r="F195" s="9" t="n"/>
    </row>
    <row r="196">
      <c r="A196" s="9" t="n"/>
      <c r="B196" s="9" t="n"/>
      <c r="C196" s="9" t="n"/>
      <c r="D196" s="9" t="n"/>
      <c r="E196" s="9" t="n"/>
      <c r="F196" s="9" t="n"/>
    </row>
    <row r="197">
      <c r="A197" s="9" t="n"/>
      <c r="B197" s="9" t="n"/>
      <c r="C197" s="9" t="n"/>
      <c r="D197" s="9" t="n"/>
      <c r="E197" s="9" t="n"/>
      <c r="F197" s="9" t="n"/>
    </row>
    <row r="198">
      <c r="A198" s="9" t="n"/>
      <c r="B198" s="9" t="n"/>
      <c r="C198" s="9" t="n"/>
      <c r="D198" s="9" t="n"/>
      <c r="E198" s="9" t="n"/>
      <c r="F198" s="9" t="n"/>
    </row>
    <row r="199">
      <c r="A199" s="9" t="n"/>
      <c r="B199" s="9" t="n"/>
      <c r="C199" s="9" t="n"/>
      <c r="D199" s="9" t="n"/>
      <c r="E199" s="9" t="n"/>
      <c r="F199" s="9" t="n"/>
    </row>
    <row r="200">
      <c r="A200" s="9" t="n"/>
      <c r="B200" s="9" t="n"/>
      <c r="C200" s="9" t="n"/>
      <c r="D200" s="9" t="n"/>
      <c r="E200" s="9" t="n"/>
      <c r="F200" s="9" t="n"/>
    </row>
    <row r="201">
      <c r="A201" s="9" t="n"/>
      <c r="B201" s="9" t="n"/>
      <c r="C201" s="9" t="n"/>
      <c r="D201" s="9" t="n"/>
      <c r="E201" s="9" t="n"/>
      <c r="F201" s="9" t="n"/>
    </row>
  </sheetData>
  <dataValidations count="1">
    <dataValidation sqref="D2:D20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4" customWidth="1" min="4" max="4"/>
    <col width="30" customWidth="1" min="5" max="5"/>
    <col width="46" customWidth="1" min="6" max="6"/>
    <col width="40" customWidth="1" min="7" max="7"/>
    <col width="13" customWidth="1" min="8" max="8"/>
    <col width="10" customWidth="1" min="9" max="9"/>
    <col width="12" customWidth="1" min="10" max="10"/>
    <col width="18" customWidth="1" min="11" max="11"/>
    <col width="40" customWidth="1" min="12" max="12"/>
    <col width="17" customWidth="1" min="13" max="13"/>
    <col width="13" customWidth="1" min="14" max="14"/>
    <col width="11" customWidth="1" min="15" max="15"/>
    <col width="36" customWidth="1" min="16" max="16"/>
    <col width="28" customWidth="1" min="17" max="17"/>
  </cols>
  <sheetData>
    <row r="1" ht="24" customHeight="1">
      <c r="A1" s="8" t="inlineStr">
        <is>
          <t>TC_ID</t>
        </is>
      </c>
      <c r="B1" s="8" t="inlineStr">
        <is>
          <t>Req_ID</t>
        </is>
      </c>
      <c r="C1" s="8" t="inlineStr">
        <is>
          <t>Module</t>
        </is>
      </c>
      <c r="D1" s="8" t="inlineStr">
        <is>
          <t>Title</t>
        </is>
      </c>
      <c r="E1" s="8" t="inlineStr">
        <is>
          <t>Preconditions</t>
        </is>
      </c>
      <c r="F1" s="8" t="inlineStr">
        <is>
          <t>Steps</t>
        </is>
      </c>
      <c r="G1" s="8" t="inlineStr">
        <is>
          <t>Expected</t>
        </is>
      </c>
      <c r="H1" s="8" t="inlineStr">
        <is>
          <t>Type</t>
        </is>
      </c>
      <c r="I1" s="8" t="inlineStr">
        <is>
          <t>Priority</t>
        </is>
      </c>
      <c r="J1" s="8" t="inlineStr">
        <is>
          <t>Role</t>
        </is>
      </c>
      <c r="K1" s="10" t="inlineStr">
        <is>
          <t>Automation_Status</t>
        </is>
      </c>
      <c r="L1" s="10" t="inlineStr">
        <is>
          <t>Script_Path</t>
        </is>
      </c>
      <c r="M1" s="10" t="inlineStr">
        <is>
          <t>Last_Run</t>
        </is>
      </c>
      <c r="N1" s="10" t="inlineStr">
        <is>
          <t>Last_Result</t>
        </is>
      </c>
      <c r="O1" s="10" t="inlineStr">
        <is>
          <t>Duration_s</t>
        </is>
      </c>
      <c r="P1" s="10" t="inlineStr">
        <is>
          <t>Run_Evidence</t>
        </is>
      </c>
      <c r="Q1" s="8" t="inlineStr">
        <is>
          <t>Notes</t>
        </is>
      </c>
    </row>
    <row r="2">
      <c r="A2" s="9" t="inlineStr">
        <is>
          <t>TC_001</t>
        </is>
      </c>
      <c r="B2" s="9" t="inlineStr">
        <is>
          <t>REQ_001</t>
        </is>
      </c>
      <c r="C2" s="9" t="inlineStr">
        <is>
          <t>Login</t>
        </is>
      </c>
      <c r="D2" s="9" t="inlineStr">
        <is>
          <t>Sign in with a valid account</t>
        </is>
      </c>
      <c r="E2" s="9" t="inlineStr">
        <is>
          <t>Account exists and is active</t>
        </is>
      </c>
      <c r="F2" s="9" t="inlineStr">
        <is>
          <t>1. Open the login page
2. Enter a valid login and password
3. Press Log in</t>
        </is>
      </c>
      <c r="G2" s="9" t="inlineStr">
        <is>
          <t>The home screen opens and the user's name is shown</t>
        </is>
      </c>
      <c r="H2" s="9" t="inlineStr">
        <is>
          <t>Positive</t>
        </is>
      </c>
      <c r="I2" s="9" t="inlineStr">
        <is>
          <t>High</t>
        </is>
      </c>
      <c r="J2" s="9" t="inlineStr">
        <is>
          <t>admin</t>
        </is>
      </c>
      <c r="K2" s="11" t="n"/>
      <c r="L2" s="11" t="n"/>
      <c r="M2" s="11" t="n"/>
      <c r="N2" s="11" t="n"/>
      <c r="O2" s="12" t="n"/>
      <c r="P2" s="11" t="n"/>
      <c r="Q2" s="9" t="inlineStr">
        <is>
          <t>Sample</t>
        </is>
      </c>
    </row>
    <row r="3">
      <c r="A3" s="9" t="inlineStr">
        <is>
          <t>TC_002</t>
        </is>
      </c>
      <c r="B3" s="9" t="inlineStr">
        <is>
          <t>REQ_001</t>
        </is>
      </c>
      <c r="C3" s="9" t="inlineStr">
        <is>
          <t>Login</t>
        </is>
      </c>
      <c r="D3" s="9" t="inlineStr">
        <is>
          <t>Sign in with a wrong password</t>
        </is>
      </c>
      <c r="E3" s="9" t="inlineStr">
        <is>
          <t>Account exists</t>
        </is>
      </c>
      <c r="F3" s="9" t="inlineStr">
        <is>
          <t>1. Open the login page
2. Enter a valid login and a wrong password
3. Press Log in</t>
        </is>
      </c>
      <c r="G3" s="9" t="inlineStr">
        <is>
          <t>An error 'Wrong login/password' is shown and the user stays on the login page</t>
        </is>
      </c>
      <c r="H3" s="9" t="inlineStr">
        <is>
          <t>Negative</t>
        </is>
      </c>
      <c r="I3" s="9" t="inlineStr">
        <is>
          <t>High</t>
        </is>
      </c>
      <c r="J3" s="9" t="inlineStr">
        <is>
          <t>admin</t>
        </is>
      </c>
      <c r="K3" s="11" t="n"/>
      <c r="L3" s="11" t="n"/>
      <c r="M3" s="11" t="n"/>
      <c r="N3" s="11" t="n"/>
      <c r="O3" s="12" t="n"/>
      <c r="P3" s="11" t="n"/>
      <c r="Q3" s="9" t="inlineStr">
        <is>
          <t>Sample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1" t="n"/>
      <c r="L4" s="11" t="n"/>
      <c r="M4" s="11" t="n"/>
      <c r="N4" s="11" t="n"/>
      <c r="O4" s="12" t="n"/>
      <c r="P4" s="11" t="n"/>
      <c r="Q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1" t="n"/>
      <c r="L5" s="11" t="n"/>
      <c r="M5" s="11" t="n"/>
      <c r="N5" s="11" t="n"/>
      <c r="O5" s="12" t="n"/>
      <c r="P5" s="11" t="n"/>
      <c r="Q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1" t="n"/>
      <c r="L6" s="11" t="n"/>
      <c r="M6" s="11" t="n"/>
      <c r="N6" s="11" t="n"/>
      <c r="O6" s="12" t="n"/>
      <c r="P6" s="11" t="n"/>
      <c r="Q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2" t="n"/>
      <c r="P7" s="11" t="n"/>
      <c r="Q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2" t="n"/>
      <c r="P8" s="11" t="n"/>
      <c r="Q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2" t="n"/>
      <c r="P9" s="11" t="n"/>
      <c r="Q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11" t="n"/>
      <c r="L10" s="11" t="n"/>
      <c r="M10" s="11" t="n"/>
      <c r="N10" s="11" t="n"/>
      <c r="O10" s="12" t="n"/>
      <c r="P10" s="11" t="n"/>
      <c r="Q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1" t="n"/>
      <c r="L11" s="11" t="n"/>
      <c r="M11" s="11" t="n"/>
      <c r="N11" s="11" t="n"/>
      <c r="O11" s="12" t="n"/>
      <c r="P11" s="11" t="n"/>
      <c r="Q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1" t="n"/>
      <c r="L12" s="11" t="n"/>
      <c r="M12" s="11" t="n"/>
      <c r="N12" s="11" t="n"/>
      <c r="O12" s="12" t="n"/>
      <c r="P12" s="11" t="n"/>
      <c r="Q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1" t="n"/>
      <c r="L13" s="11" t="n"/>
      <c r="M13" s="11" t="n"/>
      <c r="N13" s="11" t="n"/>
      <c r="O13" s="12" t="n"/>
      <c r="P13" s="11" t="n"/>
      <c r="Q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1" t="n"/>
      <c r="L14" s="11" t="n"/>
      <c r="M14" s="11" t="n"/>
      <c r="N14" s="11" t="n"/>
      <c r="O14" s="12" t="n"/>
      <c r="P14" s="11" t="n"/>
      <c r="Q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1" t="n"/>
      <c r="L15" s="11" t="n"/>
      <c r="M15" s="11" t="n"/>
      <c r="N15" s="11" t="n"/>
      <c r="O15" s="12" t="n"/>
      <c r="P15" s="11" t="n"/>
      <c r="Q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11" t="n"/>
      <c r="L16" s="11" t="n"/>
      <c r="M16" s="11" t="n"/>
      <c r="N16" s="11" t="n"/>
      <c r="O16" s="12" t="n"/>
      <c r="P16" s="11" t="n"/>
      <c r="Q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11" t="n"/>
      <c r="L17" s="11" t="n"/>
      <c r="M17" s="11" t="n"/>
      <c r="N17" s="11" t="n"/>
      <c r="O17" s="12" t="n"/>
      <c r="P17" s="11" t="n"/>
      <c r="Q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11" t="n"/>
      <c r="L18" s="11" t="n"/>
      <c r="M18" s="11" t="n"/>
      <c r="N18" s="11" t="n"/>
      <c r="O18" s="12" t="n"/>
      <c r="P18" s="11" t="n"/>
      <c r="Q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11" t="n"/>
      <c r="L19" s="11" t="n"/>
      <c r="M19" s="11" t="n"/>
      <c r="N19" s="11" t="n"/>
      <c r="O19" s="12" t="n"/>
      <c r="P19" s="11" t="n"/>
      <c r="Q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11" t="n"/>
      <c r="L20" s="11" t="n"/>
      <c r="M20" s="11" t="n"/>
      <c r="N20" s="11" t="n"/>
      <c r="O20" s="12" t="n"/>
      <c r="P20" s="11" t="n"/>
      <c r="Q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1" t="n"/>
      <c r="L21" s="11" t="n"/>
      <c r="M21" s="11" t="n"/>
      <c r="N21" s="11" t="n"/>
      <c r="O21" s="12" t="n"/>
      <c r="P21" s="11" t="n"/>
      <c r="Q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1" t="n"/>
      <c r="L22" s="11" t="n"/>
      <c r="M22" s="11" t="n"/>
      <c r="N22" s="11" t="n"/>
      <c r="O22" s="12" t="n"/>
      <c r="P22" s="11" t="n"/>
      <c r="Q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1" t="n"/>
      <c r="L23" s="11" t="n"/>
      <c r="M23" s="11" t="n"/>
      <c r="N23" s="11" t="n"/>
      <c r="O23" s="12" t="n"/>
      <c r="P23" s="11" t="n"/>
      <c r="Q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1" t="n"/>
      <c r="L24" s="11" t="n"/>
      <c r="M24" s="11" t="n"/>
      <c r="N24" s="11" t="n"/>
      <c r="O24" s="12" t="n"/>
      <c r="P24" s="11" t="n"/>
      <c r="Q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1" t="n"/>
      <c r="L25" s="11" t="n"/>
      <c r="M25" s="11" t="n"/>
      <c r="N25" s="11" t="n"/>
      <c r="O25" s="12" t="n"/>
      <c r="P25" s="11" t="n"/>
      <c r="Q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11" t="n"/>
      <c r="L26" s="11" t="n"/>
      <c r="M26" s="11" t="n"/>
      <c r="N26" s="11" t="n"/>
      <c r="O26" s="12" t="n"/>
      <c r="P26" s="11" t="n"/>
      <c r="Q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11" t="n"/>
      <c r="L27" s="11" t="n"/>
      <c r="M27" s="11" t="n"/>
      <c r="N27" s="11" t="n"/>
      <c r="O27" s="12" t="n"/>
      <c r="P27" s="11" t="n"/>
      <c r="Q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11" t="n"/>
      <c r="L28" s="11" t="n"/>
      <c r="M28" s="11" t="n"/>
      <c r="N28" s="11" t="n"/>
      <c r="O28" s="12" t="n"/>
      <c r="P28" s="11" t="n"/>
      <c r="Q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1" t="n"/>
      <c r="L29" s="11" t="n"/>
      <c r="M29" s="11" t="n"/>
      <c r="N29" s="11" t="n"/>
      <c r="O29" s="12" t="n"/>
      <c r="P29" s="11" t="n"/>
      <c r="Q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11" t="n"/>
      <c r="L30" s="11" t="n"/>
      <c r="M30" s="11" t="n"/>
      <c r="N30" s="11" t="n"/>
      <c r="O30" s="12" t="n"/>
      <c r="P30" s="11" t="n"/>
      <c r="Q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11" t="n"/>
      <c r="L31" s="11" t="n"/>
      <c r="M31" s="11" t="n"/>
      <c r="N31" s="11" t="n"/>
      <c r="O31" s="12" t="n"/>
      <c r="P31" s="11" t="n"/>
      <c r="Q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1" t="n"/>
      <c r="L32" s="11" t="n"/>
      <c r="M32" s="11" t="n"/>
      <c r="N32" s="11" t="n"/>
      <c r="O32" s="12" t="n"/>
      <c r="P32" s="11" t="n"/>
      <c r="Q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1" t="n"/>
      <c r="L33" s="11" t="n"/>
      <c r="M33" s="11" t="n"/>
      <c r="N33" s="11" t="n"/>
      <c r="O33" s="12" t="n"/>
      <c r="P33" s="11" t="n"/>
      <c r="Q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1" t="n"/>
      <c r="L34" s="11" t="n"/>
      <c r="M34" s="11" t="n"/>
      <c r="N34" s="11" t="n"/>
      <c r="O34" s="12" t="n"/>
      <c r="P34" s="11" t="n"/>
      <c r="Q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11" t="n"/>
      <c r="L35" s="11" t="n"/>
      <c r="M35" s="11" t="n"/>
      <c r="N35" s="11" t="n"/>
      <c r="O35" s="12" t="n"/>
      <c r="P35" s="11" t="n"/>
      <c r="Q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11" t="n"/>
      <c r="L36" s="11" t="n"/>
      <c r="M36" s="11" t="n"/>
      <c r="N36" s="11" t="n"/>
      <c r="O36" s="12" t="n"/>
      <c r="P36" s="11" t="n"/>
      <c r="Q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11" t="n"/>
      <c r="L37" s="11" t="n"/>
      <c r="M37" s="11" t="n"/>
      <c r="N37" s="11" t="n"/>
      <c r="O37" s="12" t="n"/>
      <c r="P37" s="11" t="n"/>
      <c r="Q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11" t="n"/>
      <c r="L38" s="11" t="n"/>
      <c r="M38" s="11" t="n"/>
      <c r="N38" s="11" t="n"/>
      <c r="O38" s="12" t="n"/>
      <c r="P38" s="11" t="n"/>
      <c r="Q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11" t="n"/>
      <c r="L39" s="11" t="n"/>
      <c r="M39" s="11" t="n"/>
      <c r="N39" s="11" t="n"/>
      <c r="O39" s="12" t="n"/>
      <c r="P39" s="11" t="n"/>
      <c r="Q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11" t="n"/>
      <c r="L40" s="11" t="n"/>
      <c r="M40" s="11" t="n"/>
      <c r="N40" s="11" t="n"/>
      <c r="O40" s="12" t="n"/>
      <c r="P40" s="11" t="n"/>
      <c r="Q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11" t="n"/>
      <c r="L41" s="11" t="n"/>
      <c r="M41" s="11" t="n"/>
      <c r="N41" s="11" t="n"/>
      <c r="O41" s="12" t="n"/>
      <c r="P41" s="11" t="n"/>
      <c r="Q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1" t="n"/>
      <c r="L42" s="11" t="n"/>
      <c r="M42" s="11" t="n"/>
      <c r="N42" s="11" t="n"/>
      <c r="O42" s="12" t="n"/>
      <c r="P42" s="11" t="n"/>
      <c r="Q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1" t="n"/>
      <c r="L43" s="11" t="n"/>
      <c r="M43" s="11" t="n"/>
      <c r="N43" s="11" t="n"/>
      <c r="O43" s="12" t="n"/>
      <c r="P43" s="11" t="n"/>
      <c r="Q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1" t="n"/>
      <c r="L44" s="11" t="n"/>
      <c r="M44" s="11" t="n"/>
      <c r="N44" s="11" t="n"/>
      <c r="O44" s="12" t="n"/>
      <c r="P44" s="11" t="n"/>
      <c r="Q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11" t="n"/>
      <c r="L45" s="11" t="n"/>
      <c r="M45" s="11" t="n"/>
      <c r="N45" s="11" t="n"/>
      <c r="O45" s="12" t="n"/>
      <c r="P45" s="11" t="n"/>
      <c r="Q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11" t="n"/>
      <c r="L46" s="11" t="n"/>
      <c r="M46" s="11" t="n"/>
      <c r="N46" s="11" t="n"/>
      <c r="O46" s="12" t="n"/>
      <c r="P46" s="11" t="n"/>
      <c r="Q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11" t="n"/>
      <c r="L47" s="11" t="n"/>
      <c r="M47" s="11" t="n"/>
      <c r="N47" s="11" t="n"/>
      <c r="O47" s="12" t="n"/>
      <c r="P47" s="11" t="n"/>
      <c r="Q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11" t="n"/>
      <c r="L48" s="11" t="n"/>
      <c r="M48" s="11" t="n"/>
      <c r="N48" s="11" t="n"/>
      <c r="O48" s="12" t="n"/>
      <c r="P48" s="11" t="n"/>
      <c r="Q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11" t="n"/>
      <c r="L49" s="11" t="n"/>
      <c r="M49" s="11" t="n"/>
      <c r="N49" s="11" t="n"/>
      <c r="O49" s="12" t="n"/>
      <c r="P49" s="11" t="n"/>
      <c r="Q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11" t="n"/>
      <c r="L50" s="11" t="n"/>
      <c r="M50" s="11" t="n"/>
      <c r="N50" s="11" t="n"/>
      <c r="O50" s="12" t="n"/>
      <c r="P50" s="11" t="n"/>
      <c r="Q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11" t="n"/>
      <c r="L51" s="11" t="n"/>
      <c r="M51" s="11" t="n"/>
      <c r="N51" s="11" t="n"/>
      <c r="O51" s="12" t="n"/>
      <c r="P51" s="11" t="n"/>
      <c r="Q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1" t="n"/>
      <c r="L52" s="11" t="n"/>
      <c r="M52" s="11" t="n"/>
      <c r="N52" s="11" t="n"/>
      <c r="O52" s="12" t="n"/>
      <c r="P52" s="11" t="n"/>
      <c r="Q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1" t="n"/>
      <c r="L53" s="11" t="n"/>
      <c r="M53" s="11" t="n"/>
      <c r="N53" s="11" t="n"/>
      <c r="O53" s="12" t="n"/>
      <c r="P53" s="11" t="n"/>
      <c r="Q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1" t="n"/>
      <c r="L54" s="11" t="n"/>
      <c r="M54" s="11" t="n"/>
      <c r="N54" s="11" t="n"/>
      <c r="O54" s="12" t="n"/>
      <c r="P54" s="11" t="n"/>
      <c r="Q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11" t="n"/>
      <c r="L55" s="11" t="n"/>
      <c r="M55" s="11" t="n"/>
      <c r="N55" s="11" t="n"/>
      <c r="O55" s="12" t="n"/>
      <c r="P55" s="11" t="n"/>
      <c r="Q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11" t="n"/>
      <c r="L56" s="11" t="n"/>
      <c r="M56" s="11" t="n"/>
      <c r="N56" s="11" t="n"/>
      <c r="O56" s="12" t="n"/>
      <c r="P56" s="11" t="n"/>
      <c r="Q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11" t="n"/>
      <c r="L57" s="11" t="n"/>
      <c r="M57" s="11" t="n"/>
      <c r="N57" s="11" t="n"/>
      <c r="O57" s="12" t="n"/>
      <c r="P57" s="11" t="n"/>
      <c r="Q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11" t="n"/>
      <c r="L58" s="11" t="n"/>
      <c r="M58" s="11" t="n"/>
      <c r="N58" s="11" t="n"/>
      <c r="O58" s="12" t="n"/>
      <c r="P58" s="11" t="n"/>
      <c r="Q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11" t="n"/>
      <c r="L59" s="11" t="n"/>
      <c r="M59" s="11" t="n"/>
      <c r="N59" s="11" t="n"/>
      <c r="O59" s="12" t="n"/>
      <c r="P59" s="11" t="n"/>
      <c r="Q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11" t="n"/>
      <c r="L60" s="11" t="n"/>
      <c r="M60" s="11" t="n"/>
      <c r="N60" s="11" t="n"/>
      <c r="O60" s="12" t="n"/>
      <c r="P60" s="11" t="n"/>
      <c r="Q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11" t="n"/>
      <c r="L61" s="11" t="n"/>
      <c r="M61" s="11" t="n"/>
      <c r="N61" s="11" t="n"/>
      <c r="O61" s="12" t="n"/>
      <c r="P61" s="11" t="n"/>
      <c r="Q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1" t="n"/>
      <c r="L62" s="11" t="n"/>
      <c r="M62" s="11" t="n"/>
      <c r="N62" s="11" t="n"/>
      <c r="O62" s="12" t="n"/>
      <c r="P62" s="11" t="n"/>
      <c r="Q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1" t="n"/>
      <c r="L63" s="11" t="n"/>
      <c r="M63" s="11" t="n"/>
      <c r="N63" s="11" t="n"/>
      <c r="O63" s="12" t="n"/>
      <c r="P63" s="11" t="n"/>
      <c r="Q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1" t="n"/>
      <c r="L64" s="11" t="n"/>
      <c r="M64" s="11" t="n"/>
      <c r="N64" s="11" t="n"/>
      <c r="O64" s="12" t="n"/>
      <c r="P64" s="11" t="n"/>
      <c r="Q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11" t="n"/>
      <c r="L65" s="11" t="n"/>
      <c r="M65" s="11" t="n"/>
      <c r="N65" s="11" t="n"/>
      <c r="O65" s="12" t="n"/>
      <c r="P65" s="11" t="n"/>
      <c r="Q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11" t="n"/>
      <c r="L66" s="11" t="n"/>
      <c r="M66" s="11" t="n"/>
      <c r="N66" s="11" t="n"/>
      <c r="O66" s="12" t="n"/>
      <c r="P66" s="11" t="n"/>
      <c r="Q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11" t="n"/>
      <c r="L67" s="11" t="n"/>
      <c r="M67" s="11" t="n"/>
      <c r="N67" s="11" t="n"/>
      <c r="O67" s="12" t="n"/>
      <c r="P67" s="11" t="n"/>
      <c r="Q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11" t="n"/>
      <c r="L68" s="11" t="n"/>
      <c r="M68" s="11" t="n"/>
      <c r="N68" s="11" t="n"/>
      <c r="O68" s="12" t="n"/>
      <c r="P68" s="11" t="n"/>
      <c r="Q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11" t="n"/>
      <c r="L69" s="11" t="n"/>
      <c r="M69" s="11" t="n"/>
      <c r="N69" s="11" t="n"/>
      <c r="O69" s="12" t="n"/>
      <c r="P69" s="11" t="n"/>
      <c r="Q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11" t="n"/>
      <c r="L70" s="11" t="n"/>
      <c r="M70" s="11" t="n"/>
      <c r="N70" s="11" t="n"/>
      <c r="O70" s="12" t="n"/>
      <c r="P70" s="11" t="n"/>
      <c r="Q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11" t="n"/>
      <c r="L71" s="11" t="n"/>
      <c r="M71" s="11" t="n"/>
      <c r="N71" s="11" t="n"/>
      <c r="O71" s="12" t="n"/>
      <c r="P71" s="11" t="n"/>
      <c r="Q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1" t="n"/>
      <c r="L72" s="11" t="n"/>
      <c r="M72" s="11" t="n"/>
      <c r="N72" s="11" t="n"/>
      <c r="O72" s="12" t="n"/>
      <c r="P72" s="11" t="n"/>
      <c r="Q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1" t="n"/>
      <c r="L73" s="11" t="n"/>
      <c r="M73" s="11" t="n"/>
      <c r="N73" s="11" t="n"/>
      <c r="O73" s="12" t="n"/>
      <c r="P73" s="11" t="n"/>
      <c r="Q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1" t="n"/>
      <c r="L74" s="11" t="n"/>
      <c r="M74" s="11" t="n"/>
      <c r="N74" s="11" t="n"/>
      <c r="O74" s="12" t="n"/>
      <c r="P74" s="11" t="n"/>
      <c r="Q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11" t="n"/>
      <c r="L75" s="11" t="n"/>
      <c r="M75" s="11" t="n"/>
      <c r="N75" s="11" t="n"/>
      <c r="O75" s="12" t="n"/>
      <c r="P75" s="11" t="n"/>
      <c r="Q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11" t="n"/>
      <c r="L76" s="11" t="n"/>
      <c r="M76" s="11" t="n"/>
      <c r="N76" s="11" t="n"/>
      <c r="O76" s="12" t="n"/>
      <c r="P76" s="11" t="n"/>
      <c r="Q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11" t="n"/>
      <c r="L77" s="11" t="n"/>
      <c r="M77" s="11" t="n"/>
      <c r="N77" s="11" t="n"/>
      <c r="O77" s="12" t="n"/>
      <c r="P77" s="11" t="n"/>
      <c r="Q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11" t="n"/>
      <c r="L78" s="11" t="n"/>
      <c r="M78" s="11" t="n"/>
      <c r="N78" s="11" t="n"/>
      <c r="O78" s="12" t="n"/>
      <c r="P78" s="11" t="n"/>
      <c r="Q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11" t="n"/>
      <c r="L79" s="11" t="n"/>
      <c r="M79" s="11" t="n"/>
      <c r="N79" s="11" t="n"/>
      <c r="O79" s="12" t="n"/>
      <c r="P79" s="11" t="n"/>
      <c r="Q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11" t="n"/>
      <c r="L80" s="11" t="n"/>
      <c r="M80" s="11" t="n"/>
      <c r="N80" s="11" t="n"/>
      <c r="O80" s="12" t="n"/>
      <c r="P80" s="11" t="n"/>
      <c r="Q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11" t="n"/>
      <c r="L81" s="11" t="n"/>
      <c r="M81" s="11" t="n"/>
      <c r="N81" s="11" t="n"/>
      <c r="O81" s="12" t="n"/>
      <c r="P81" s="11" t="n"/>
      <c r="Q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11" t="n"/>
      <c r="L82" s="11" t="n"/>
      <c r="M82" s="11" t="n"/>
      <c r="N82" s="11" t="n"/>
      <c r="O82" s="12" t="n"/>
      <c r="P82" s="11" t="n"/>
      <c r="Q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11" t="n"/>
      <c r="L83" s="11" t="n"/>
      <c r="M83" s="11" t="n"/>
      <c r="N83" s="11" t="n"/>
      <c r="O83" s="12" t="n"/>
      <c r="P83" s="11" t="n"/>
      <c r="Q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11" t="n"/>
      <c r="L84" s="11" t="n"/>
      <c r="M84" s="11" t="n"/>
      <c r="N84" s="11" t="n"/>
      <c r="O84" s="12" t="n"/>
      <c r="P84" s="11" t="n"/>
      <c r="Q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11" t="n"/>
      <c r="L85" s="11" t="n"/>
      <c r="M85" s="11" t="n"/>
      <c r="N85" s="11" t="n"/>
      <c r="O85" s="12" t="n"/>
      <c r="P85" s="11" t="n"/>
      <c r="Q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11" t="n"/>
      <c r="L86" s="11" t="n"/>
      <c r="M86" s="11" t="n"/>
      <c r="N86" s="11" t="n"/>
      <c r="O86" s="12" t="n"/>
      <c r="P86" s="11" t="n"/>
      <c r="Q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11" t="n"/>
      <c r="L87" s="11" t="n"/>
      <c r="M87" s="11" t="n"/>
      <c r="N87" s="11" t="n"/>
      <c r="O87" s="12" t="n"/>
      <c r="P87" s="11" t="n"/>
      <c r="Q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11" t="n"/>
      <c r="L88" s="11" t="n"/>
      <c r="M88" s="11" t="n"/>
      <c r="N88" s="11" t="n"/>
      <c r="O88" s="12" t="n"/>
      <c r="P88" s="11" t="n"/>
      <c r="Q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11" t="n"/>
      <c r="L89" s="11" t="n"/>
      <c r="M89" s="11" t="n"/>
      <c r="N89" s="11" t="n"/>
      <c r="O89" s="12" t="n"/>
      <c r="P89" s="11" t="n"/>
      <c r="Q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11" t="n"/>
      <c r="L90" s="11" t="n"/>
      <c r="M90" s="11" t="n"/>
      <c r="N90" s="11" t="n"/>
      <c r="O90" s="12" t="n"/>
      <c r="P90" s="11" t="n"/>
      <c r="Q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11" t="n"/>
      <c r="L91" s="11" t="n"/>
      <c r="M91" s="11" t="n"/>
      <c r="N91" s="11" t="n"/>
      <c r="O91" s="12" t="n"/>
      <c r="P91" s="11" t="n"/>
      <c r="Q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11" t="n"/>
      <c r="L92" s="11" t="n"/>
      <c r="M92" s="11" t="n"/>
      <c r="N92" s="11" t="n"/>
      <c r="O92" s="12" t="n"/>
      <c r="P92" s="11" t="n"/>
      <c r="Q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11" t="n"/>
      <c r="L93" s="11" t="n"/>
      <c r="M93" s="11" t="n"/>
      <c r="N93" s="11" t="n"/>
      <c r="O93" s="12" t="n"/>
      <c r="P93" s="11" t="n"/>
      <c r="Q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11" t="n"/>
      <c r="L94" s="11" t="n"/>
      <c r="M94" s="11" t="n"/>
      <c r="N94" s="11" t="n"/>
      <c r="O94" s="12" t="n"/>
      <c r="P94" s="11" t="n"/>
      <c r="Q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11" t="n"/>
      <c r="L95" s="11" t="n"/>
      <c r="M95" s="11" t="n"/>
      <c r="N95" s="11" t="n"/>
      <c r="O95" s="12" t="n"/>
      <c r="P95" s="11" t="n"/>
      <c r="Q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11" t="n"/>
      <c r="L96" s="11" t="n"/>
      <c r="M96" s="11" t="n"/>
      <c r="N96" s="11" t="n"/>
      <c r="O96" s="12" t="n"/>
      <c r="P96" s="11" t="n"/>
      <c r="Q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11" t="n"/>
      <c r="L97" s="11" t="n"/>
      <c r="M97" s="11" t="n"/>
      <c r="N97" s="11" t="n"/>
      <c r="O97" s="12" t="n"/>
      <c r="P97" s="11" t="n"/>
      <c r="Q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11" t="n"/>
      <c r="L98" s="11" t="n"/>
      <c r="M98" s="11" t="n"/>
      <c r="N98" s="11" t="n"/>
      <c r="O98" s="12" t="n"/>
      <c r="P98" s="11" t="n"/>
      <c r="Q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11" t="n"/>
      <c r="L99" s="11" t="n"/>
      <c r="M99" s="11" t="n"/>
      <c r="N99" s="11" t="n"/>
      <c r="O99" s="12" t="n"/>
      <c r="P99" s="11" t="n"/>
      <c r="Q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11" t="n"/>
      <c r="L100" s="11" t="n"/>
      <c r="M100" s="11" t="n"/>
      <c r="N100" s="11" t="n"/>
      <c r="O100" s="12" t="n"/>
      <c r="P100" s="11" t="n"/>
      <c r="Q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11" t="n"/>
      <c r="L101" s="11" t="n"/>
      <c r="M101" s="11" t="n"/>
      <c r="N101" s="11" t="n"/>
      <c r="O101" s="12" t="n"/>
      <c r="P101" s="11" t="n"/>
      <c r="Q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11" t="n"/>
      <c r="L102" s="11" t="n"/>
      <c r="M102" s="11" t="n"/>
      <c r="N102" s="11" t="n"/>
      <c r="O102" s="12" t="n"/>
      <c r="P102" s="11" t="n"/>
      <c r="Q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11" t="n"/>
      <c r="L103" s="11" t="n"/>
      <c r="M103" s="11" t="n"/>
      <c r="N103" s="11" t="n"/>
      <c r="O103" s="12" t="n"/>
      <c r="P103" s="11" t="n"/>
      <c r="Q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11" t="n"/>
      <c r="L104" s="11" t="n"/>
      <c r="M104" s="11" t="n"/>
      <c r="N104" s="11" t="n"/>
      <c r="O104" s="12" t="n"/>
      <c r="P104" s="11" t="n"/>
      <c r="Q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11" t="n"/>
      <c r="L105" s="11" t="n"/>
      <c r="M105" s="11" t="n"/>
      <c r="N105" s="11" t="n"/>
      <c r="O105" s="12" t="n"/>
      <c r="P105" s="11" t="n"/>
      <c r="Q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11" t="n"/>
      <c r="L106" s="11" t="n"/>
      <c r="M106" s="11" t="n"/>
      <c r="N106" s="11" t="n"/>
      <c r="O106" s="12" t="n"/>
      <c r="P106" s="11" t="n"/>
      <c r="Q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11" t="n"/>
      <c r="L107" s="11" t="n"/>
      <c r="M107" s="11" t="n"/>
      <c r="N107" s="11" t="n"/>
      <c r="O107" s="12" t="n"/>
      <c r="P107" s="11" t="n"/>
      <c r="Q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11" t="n"/>
      <c r="L108" s="11" t="n"/>
      <c r="M108" s="11" t="n"/>
      <c r="N108" s="11" t="n"/>
      <c r="O108" s="12" t="n"/>
      <c r="P108" s="11" t="n"/>
      <c r="Q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11" t="n"/>
      <c r="L109" s="11" t="n"/>
      <c r="M109" s="11" t="n"/>
      <c r="N109" s="11" t="n"/>
      <c r="O109" s="12" t="n"/>
      <c r="P109" s="11" t="n"/>
      <c r="Q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11" t="n"/>
      <c r="L110" s="11" t="n"/>
      <c r="M110" s="11" t="n"/>
      <c r="N110" s="11" t="n"/>
      <c r="O110" s="12" t="n"/>
      <c r="P110" s="11" t="n"/>
      <c r="Q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11" t="n"/>
      <c r="L111" s="11" t="n"/>
      <c r="M111" s="11" t="n"/>
      <c r="N111" s="11" t="n"/>
      <c r="O111" s="12" t="n"/>
      <c r="P111" s="11" t="n"/>
      <c r="Q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11" t="n"/>
      <c r="L112" s="11" t="n"/>
      <c r="M112" s="11" t="n"/>
      <c r="N112" s="11" t="n"/>
      <c r="O112" s="12" t="n"/>
      <c r="P112" s="11" t="n"/>
      <c r="Q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11" t="n"/>
      <c r="L113" s="11" t="n"/>
      <c r="M113" s="11" t="n"/>
      <c r="N113" s="11" t="n"/>
      <c r="O113" s="12" t="n"/>
      <c r="P113" s="11" t="n"/>
      <c r="Q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11" t="n"/>
      <c r="L114" s="11" t="n"/>
      <c r="M114" s="11" t="n"/>
      <c r="N114" s="11" t="n"/>
      <c r="O114" s="12" t="n"/>
      <c r="P114" s="11" t="n"/>
      <c r="Q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11" t="n"/>
      <c r="L115" s="11" t="n"/>
      <c r="M115" s="11" t="n"/>
      <c r="N115" s="11" t="n"/>
      <c r="O115" s="12" t="n"/>
      <c r="P115" s="11" t="n"/>
      <c r="Q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11" t="n"/>
      <c r="L116" s="11" t="n"/>
      <c r="M116" s="11" t="n"/>
      <c r="N116" s="11" t="n"/>
      <c r="O116" s="12" t="n"/>
      <c r="P116" s="11" t="n"/>
      <c r="Q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11" t="n"/>
      <c r="L117" s="11" t="n"/>
      <c r="M117" s="11" t="n"/>
      <c r="N117" s="11" t="n"/>
      <c r="O117" s="12" t="n"/>
      <c r="P117" s="11" t="n"/>
      <c r="Q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11" t="n"/>
      <c r="L118" s="11" t="n"/>
      <c r="M118" s="11" t="n"/>
      <c r="N118" s="11" t="n"/>
      <c r="O118" s="12" t="n"/>
      <c r="P118" s="11" t="n"/>
      <c r="Q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11" t="n"/>
      <c r="L119" s="11" t="n"/>
      <c r="M119" s="11" t="n"/>
      <c r="N119" s="11" t="n"/>
      <c r="O119" s="12" t="n"/>
      <c r="P119" s="11" t="n"/>
      <c r="Q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11" t="n"/>
      <c r="L120" s="11" t="n"/>
      <c r="M120" s="11" t="n"/>
      <c r="N120" s="11" t="n"/>
      <c r="O120" s="12" t="n"/>
      <c r="P120" s="11" t="n"/>
      <c r="Q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11" t="n"/>
      <c r="L121" s="11" t="n"/>
      <c r="M121" s="11" t="n"/>
      <c r="N121" s="11" t="n"/>
      <c r="O121" s="12" t="n"/>
      <c r="P121" s="11" t="n"/>
      <c r="Q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11" t="n"/>
      <c r="L122" s="11" t="n"/>
      <c r="M122" s="11" t="n"/>
      <c r="N122" s="11" t="n"/>
      <c r="O122" s="12" t="n"/>
      <c r="P122" s="11" t="n"/>
      <c r="Q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11" t="n"/>
      <c r="L123" s="11" t="n"/>
      <c r="M123" s="11" t="n"/>
      <c r="N123" s="11" t="n"/>
      <c r="O123" s="12" t="n"/>
      <c r="P123" s="11" t="n"/>
      <c r="Q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11" t="n"/>
      <c r="L124" s="11" t="n"/>
      <c r="M124" s="11" t="n"/>
      <c r="N124" s="11" t="n"/>
      <c r="O124" s="12" t="n"/>
      <c r="P124" s="11" t="n"/>
      <c r="Q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11" t="n"/>
      <c r="L125" s="11" t="n"/>
      <c r="M125" s="11" t="n"/>
      <c r="N125" s="11" t="n"/>
      <c r="O125" s="12" t="n"/>
      <c r="P125" s="11" t="n"/>
      <c r="Q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11" t="n"/>
      <c r="L126" s="11" t="n"/>
      <c r="M126" s="11" t="n"/>
      <c r="N126" s="11" t="n"/>
      <c r="O126" s="12" t="n"/>
      <c r="P126" s="11" t="n"/>
      <c r="Q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11" t="n"/>
      <c r="L127" s="11" t="n"/>
      <c r="M127" s="11" t="n"/>
      <c r="N127" s="11" t="n"/>
      <c r="O127" s="12" t="n"/>
      <c r="P127" s="11" t="n"/>
      <c r="Q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11" t="n"/>
      <c r="L128" s="11" t="n"/>
      <c r="M128" s="11" t="n"/>
      <c r="N128" s="11" t="n"/>
      <c r="O128" s="12" t="n"/>
      <c r="P128" s="11" t="n"/>
      <c r="Q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11" t="n"/>
      <c r="L129" s="11" t="n"/>
      <c r="M129" s="11" t="n"/>
      <c r="N129" s="11" t="n"/>
      <c r="O129" s="12" t="n"/>
      <c r="P129" s="11" t="n"/>
      <c r="Q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11" t="n"/>
      <c r="L130" s="11" t="n"/>
      <c r="M130" s="11" t="n"/>
      <c r="N130" s="11" t="n"/>
      <c r="O130" s="12" t="n"/>
      <c r="P130" s="11" t="n"/>
      <c r="Q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11" t="n"/>
      <c r="L131" s="11" t="n"/>
      <c r="M131" s="11" t="n"/>
      <c r="N131" s="11" t="n"/>
      <c r="O131" s="12" t="n"/>
      <c r="P131" s="11" t="n"/>
      <c r="Q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11" t="n"/>
      <c r="L132" s="11" t="n"/>
      <c r="M132" s="11" t="n"/>
      <c r="N132" s="11" t="n"/>
      <c r="O132" s="12" t="n"/>
      <c r="P132" s="11" t="n"/>
      <c r="Q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11" t="n"/>
      <c r="M133" s="11" t="n"/>
      <c r="N133" s="11" t="n"/>
      <c r="O133" s="12" t="n"/>
      <c r="P133" s="11" t="n"/>
      <c r="Q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11" t="n"/>
      <c r="M134" s="11" t="n"/>
      <c r="N134" s="11" t="n"/>
      <c r="O134" s="12" t="n"/>
      <c r="P134" s="11" t="n"/>
      <c r="Q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11" t="n"/>
      <c r="L135" s="11" t="n"/>
      <c r="M135" s="11" t="n"/>
      <c r="N135" s="11" t="n"/>
      <c r="O135" s="12" t="n"/>
      <c r="P135" s="11" t="n"/>
      <c r="Q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11" t="n"/>
      <c r="L136" s="11" t="n"/>
      <c r="M136" s="11" t="n"/>
      <c r="N136" s="11" t="n"/>
      <c r="O136" s="12" t="n"/>
      <c r="P136" s="11" t="n"/>
      <c r="Q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11" t="n"/>
      <c r="L137" s="11" t="n"/>
      <c r="M137" s="11" t="n"/>
      <c r="N137" s="11" t="n"/>
      <c r="O137" s="12" t="n"/>
      <c r="P137" s="11" t="n"/>
      <c r="Q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11" t="n"/>
      <c r="L138" s="11" t="n"/>
      <c r="M138" s="11" t="n"/>
      <c r="N138" s="11" t="n"/>
      <c r="O138" s="12" t="n"/>
      <c r="P138" s="11" t="n"/>
      <c r="Q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11" t="n"/>
      <c r="L139" s="11" t="n"/>
      <c r="M139" s="11" t="n"/>
      <c r="N139" s="11" t="n"/>
      <c r="O139" s="12" t="n"/>
      <c r="P139" s="11" t="n"/>
      <c r="Q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11" t="n"/>
      <c r="L140" s="11" t="n"/>
      <c r="M140" s="11" t="n"/>
      <c r="N140" s="11" t="n"/>
      <c r="O140" s="12" t="n"/>
      <c r="P140" s="11" t="n"/>
      <c r="Q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11" t="n"/>
      <c r="L141" s="11" t="n"/>
      <c r="M141" s="11" t="n"/>
      <c r="N141" s="11" t="n"/>
      <c r="O141" s="12" t="n"/>
      <c r="P141" s="11" t="n"/>
      <c r="Q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11" t="n"/>
      <c r="L142" s="11" t="n"/>
      <c r="M142" s="11" t="n"/>
      <c r="N142" s="11" t="n"/>
      <c r="O142" s="12" t="n"/>
      <c r="P142" s="11" t="n"/>
      <c r="Q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11" t="n"/>
      <c r="L143" s="11" t="n"/>
      <c r="M143" s="11" t="n"/>
      <c r="N143" s="11" t="n"/>
      <c r="O143" s="12" t="n"/>
      <c r="P143" s="11" t="n"/>
      <c r="Q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11" t="n"/>
      <c r="L144" s="11" t="n"/>
      <c r="M144" s="11" t="n"/>
      <c r="N144" s="11" t="n"/>
      <c r="O144" s="12" t="n"/>
      <c r="P144" s="11" t="n"/>
      <c r="Q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11" t="n"/>
      <c r="L145" s="11" t="n"/>
      <c r="M145" s="11" t="n"/>
      <c r="N145" s="11" t="n"/>
      <c r="O145" s="12" t="n"/>
      <c r="P145" s="11" t="n"/>
      <c r="Q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11" t="n"/>
      <c r="L146" s="11" t="n"/>
      <c r="M146" s="11" t="n"/>
      <c r="N146" s="11" t="n"/>
      <c r="O146" s="12" t="n"/>
      <c r="P146" s="11" t="n"/>
      <c r="Q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11" t="n"/>
      <c r="L147" s="11" t="n"/>
      <c r="M147" s="11" t="n"/>
      <c r="N147" s="11" t="n"/>
      <c r="O147" s="12" t="n"/>
      <c r="P147" s="11" t="n"/>
      <c r="Q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11" t="n"/>
      <c r="L148" s="11" t="n"/>
      <c r="M148" s="11" t="n"/>
      <c r="N148" s="11" t="n"/>
      <c r="O148" s="12" t="n"/>
      <c r="P148" s="11" t="n"/>
      <c r="Q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11" t="n"/>
      <c r="L149" s="11" t="n"/>
      <c r="M149" s="11" t="n"/>
      <c r="N149" s="11" t="n"/>
      <c r="O149" s="12" t="n"/>
      <c r="P149" s="11" t="n"/>
      <c r="Q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11" t="n"/>
      <c r="L150" s="11" t="n"/>
      <c r="M150" s="11" t="n"/>
      <c r="N150" s="11" t="n"/>
      <c r="O150" s="12" t="n"/>
      <c r="P150" s="11" t="n"/>
      <c r="Q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11" t="n"/>
      <c r="L151" s="11" t="n"/>
      <c r="M151" s="11" t="n"/>
      <c r="N151" s="11" t="n"/>
      <c r="O151" s="12" t="n"/>
      <c r="P151" s="11" t="n"/>
      <c r="Q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11" t="n"/>
      <c r="L152" s="11" t="n"/>
      <c r="M152" s="11" t="n"/>
      <c r="N152" s="11" t="n"/>
      <c r="O152" s="12" t="n"/>
      <c r="P152" s="11" t="n"/>
      <c r="Q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11" t="n"/>
      <c r="L153" s="11" t="n"/>
      <c r="M153" s="11" t="n"/>
      <c r="N153" s="11" t="n"/>
      <c r="O153" s="12" t="n"/>
      <c r="P153" s="11" t="n"/>
      <c r="Q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11" t="n"/>
      <c r="L154" s="11" t="n"/>
      <c r="M154" s="11" t="n"/>
      <c r="N154" s="11" t="n"/>
      <c r="O154" s="12" t="n"/>
      <c r="P154" s="11" t="n"/>
      <c r="Q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11" t="n"/>
      <c r="L155" s="11" t="n"/>
      <c r="M155" s="11" t="n"/>
      <c r="N155" s="11" t="n"/>
      <c r="O155" s="12" t="n"/>
      <c r="P155" s="11" t="n"/>
      <c r="Q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11" t="n"/>
      <c r="L156" s="11" t="n"/>
      <c r="M156" s="11" t="n"/>
      <c r="N156" s="11" t="n"/>
      <c r="O156" s="12" t="n"/>
      <c r="P156" s="11" t="n"/>
      <c r="Q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11" t="n"/>
      <c r="L157" s="11" t="n"/>
      <c r="M157" s="11" t="n"/>
      <c r="N157" s="11" t="n"/>
      <c r="O157" s="12" t="n"/>
      <c r="P157" s="11" t="n"/>
      <c r="Q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11" t="n"/>
      <c r="L158" s="11" t="n"/>
      <c r="M158" s="11" t="n"/>
      <c r="N158" s="11" t="n"/>
      <c r="O158" s="12" t="n"/>
      <c r="P158" s="11" t="n"/>
      <c r="Q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11" t="n"/>
      <c r="L159" s="11" t="n"/>
      <c r="M159" s="11" t="n"/>
      <c r="N159" s="11" t="n"/>
      <c r="O159" s="12" t="n"/>
      <c r="P159" s="11" t="n"/>
      <c r="Q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11" t="n"/>
      <c r="L160" s="11" t="n"/>
      <c r="M160" s="11" t="n"/>
      <c r="N160" s="11" t="n"/>
      <c r="O160" s="12" t="n"/>
      <c r="P160" s="11" t="n"/>
      <c r="Q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11" t="n"/>
      <c r="M161" s="11" t="n"/>
      <c r="N161" s="11" t="n"/>
      <c r="O161" s="12" t="n"/>
      <c r="P161" s="11" t="n"/>
      <c r="Q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11" t="n"/>
      <c r="M162" s="11" t="n"/>
      <c r="N162" s="11" t="n"/>
      <c r="O162" s="12" t="n"/>
      <c r="P162" s="11" t="n"/>
      <c r="Q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11" t="n"/>
      <c r="L163" s="11" t="n"/>
      <c r="M163" s="11" t="n"/>
      <c r="N163" s="11" t="n"/>
      <c r="O163" s="12" t="n"/>
      <c r="P163" s="11" t="n"/>
      <c r="Q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11" t="n"/>
      <c r="L164" s="11" t="n"/>
      <c r="M164" s="11" t="n"/>
      <c r="N164" s="11" t="n"/>
      <c r="O164" s="12" t="n"/>
      <c r="P164" s="11" t="n"/>
      <c r="Q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11" t="n"/>
      <c r="L165" s="11" t="n"/>
      <c r="M165" s="11" t="n"/>
      <c r="N165" s="11" t="n"/>
      <c r="O165" s="12" t="n"/>
      <c r="P165" s="11" t="n"/>
      <c r="Q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11" t="n"/>
      <c r="L166" s="11" t="n"/>
      <c r="M166" s="11" t="n"/>
      <c r="N166" s="11" t="n"/>
      <c r="O166" s="12" t="n"/>
      <c r="P166" s="11" t="n"/>
      <c r="Q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11" t="n"/>
      <c r="L167" s="11" t="n"/>
      <c r="M167" s="11" t="n"/>
      <c r="N167" s="11" t="n"/>
      <c r="O167" s="12" t="n"/>
      <c r="P167" s="11" t="n"/>
      <c r="Q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11" t="n"/>
      <c r="L168" s="11" t="n"/>
      <c r="M168" s="11" t="n"/>
      <c r="N168" s="11" t="n"/>
      <c r="O168" s="12" t="n"/>
      <c r="P168" s="11" t="n"/>
      <c r="Q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11" t="n"/>
      <c r="L169" s="11" t="n"/>
      <c r="M169" s="11" t="n"/>
      <c r="N169" s="11" t="n"/>
      <c r="O169" s="12" t="n"/>
      <c r="P169" s="11" t="n"/>
      <c r="Q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11" t="n"/>
      <c r="L170" s="11" t="n"/>
      <c r="M170" s="11" t="n"/>
      <c r="N170" s="11" t="n"/>
      <c r="O170" s="12" t="n"/>
      <c r="P170" s="11" t="n"/>
      <c r="Q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11" t="n"/>
      <c r="L171" s="11" t="n"/>
      <c r="M171" s="11" t="n"/>
      <c r="N171" s="11" t="n"/>
      <c r="O171" s="12" t="n"/>
      <c r="P171" s="11" t="n"/>
      <c r="Q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11" t="n"/>
      <c r="L172" s="11" t="n"/>
      <c r="M172" s="11" t="n"/>
      <c r="N172" s="11" t="n"/>
      <c r="O172" s="12" t="n"/>
      <c r="P172" s="11" t="n"/>
      <c r="Q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11" t="n"/>
      <c r="L173" s="11" t="n"/>
      <c r="M173" s="11" t="n"/>
      <c r="N173" s="11" t="n"/>
      <c r="O173" s="12" t="n"/>
      <c r="P173" s="11" t="n"/>
      <c r="Q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11" t="n"/>
      <c r="L174" s="11" t="n"/>
      <c r="M174" s="11" t="n"/>
      <c r="N174" s="11" t="n"/>
      <c r="O174" s="12" t="n"/>
      <c r="P174" s="11" t="n"/>
      <c r="Q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11" t="n"/>
      <c r="L175" s="11" t="n"/>
      <c r="M175" s="11" t="n"/>
      <c r="N175" s="11" t="n"/>
      <c r="O175" s="12" t="n"/>
      <c r="P175" s="11" t="n"/>
      <c r="Q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11" t="n"/>
      <c r="L176" s="11" t="n"/>
      <c r="M176" s="11" t="n"/>
      <c r="N176" s="11" t="n"/>
      <c r="O176" s="12" t="n"/>
      <c r="P176" s="11" t="n"/>
      <c r="Q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11" t="n"/>
      <c r="L177" s="11" t="n"/>
      <c r="M177" s="11" t="n"/>
      <c r="N177" s="11" t="n"/>
      <c r="O177" s="12" t="n"/>
      <c r="P177" s="11" t="n"/>
      <c r="Q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11" t="n"/>
      <c r="L178" s="11" t="n"/>
      <c r="M178" s="11" t="n"/>
      <c r="N178" s="11" t="n"/>
      <c r="O178" s="12" t="n"/>
      <c r="P178" s="11" t="n"/>
      <c r="Q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11" t="n"/>
      <c r="L179" s="11" t="n"/>
      <c r="M179" s="11" t="n"/>
      <c r="N179" s="11" t="n"/>
      <c r="O179" s="12" t="n"/>
      <c r="P179" s="11" t="n"/>
      <c r="Q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11" t="n"/>
      <c r="L180" s="11" t="n"/>
      <c r="M180" s="11" t="n"/>
      <c r="N180" s="11" t="n"/>
      <c r="O180" s="12" t="n"/>
      <c r="P180" s="11" t="n"/>
      <c r="Q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11" t="n"/>
      <c r="L181" s="11" t="n"/>
      <c r="M181" s="11" t="n"/>
      <c r="N181" s="11" t="n"/>
      <c r="O181" s="12" t="n"/>
      <c r="P181" s="11" t="n"/>
      <c r="Q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11" t="n"/>
      <c r="L182" s="11" t="n"/>
      <c r="M182" s="11" t="n"/>
      <c r="N182" s="11" t="n"/>
      <c r="O182" s="12" t="n"/>
      <c r="P182" s="11" t="n"/>
      <c r="Q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11" t="n"/>
      <c r="L183" s="11" t="n"/>
      <c r="M183" s="11" t="n"/>
      <c r="N183" s="11" t="n"/>
      <c r="O183" s="12" t="n"/>
      <c r="P183" s="11" t="n"/>
      <c r="Q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11" t="n"/>
      <c r="L184" s="11" t="n"/>
      <c r="M184" s="11" t="n"/>
      <c r="N184" s="11" t="n"/>
      <c r="O184" s="12" t="n"/>
      <c r="P184" s="11" t="n"/>
      <c r="Q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11" t="n"/>
      <c r="L185" s="11" t="n"/>
      <c r="M185" s="11" t="n"/>
      <c r="N185" s="11" t="n"/>
      <c r="O185" s="12" t="n"/>
      <c r="P185" s="11" t="n"/>
      <c r="Q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11" t="n"/>
      <c r="L186" s="11" t="n"/>
      <c r="M186" s="11" t="n"/>
      <c r="N186" s="11" t="n"/>
      <c r="O186" s="12" t="n"/>
      <c r="P186" s="11" t="n"/>
      <c r="Q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11" t="n"/>
      <c r="L187" s="11" t="n"/>
      <c r="M187" s="11" t="n"/>
      <c r="N187" s="11" t="n"/>
      <c r="O187" s="12" t="n"/>
      <c r="P187" s="11" t="n"/>
      <c r="Q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11" t="n"/>
      <c r="L188" s="11" t="n"/>
      <c r="M188" s="11" t="n"/>
      <c r="N188" s="11" t="n"/>
      <c r="O188" s="12" t="n"/>
      <c r="P188" s="11" t="n"/>
      <c r="Q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11" t="n"/>
      <c r="L189" s="11" t="n"/>
      <c r="M189" s="11" t="n"/>
      <c r="N189" s="11" t="n"/>
      <c r="O189" s="12" t="n"/>
      <c r="P189" s="11" t="n"/>
      <c r="Q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11" t="n"/>
      <c r="L190" s="11" t="n"/>
      <c r="M190" s="11" t="n"/>
      <c r="N190" s="11" t="n"/>
      <c r="O190" s="12" t="n"/>
      <c r="P190" s="11" t="n"/>
      <c r="Q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11" t="n"/>
      <c r="L191" s="11" t="n"/>
      <c r="M191" s="11" t="n"/>
      <c r="N191" s="11" t="n"/>
      <c r="O191" s="12" t="n"/>
      <c r="P191" s="11" t="n"/>
      <c r="Q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11" t="n"/>
      <c r="L192" s="11" t="n"/>
      <c r="M192" s="11" t="n"/>
      <c r="N192" s="11" t="n"/>
      <c r="O192" s="12" t="n"/>
      <c r="P192" s="11" t="n"/>
      <c r="Q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11" t="n"/>
      <c r="L193" s="11" t="n"/>
      <c r="M193" s="11" t="n"/>
      <c r="N193" s="11" t="n"/>
      <c r="O193" s="12" t="n"/>
      <c r="P193" s="11" t="n"/>
      <c r="Q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11" t="n"/>
      <c r="L194" s="11" t="n"/>
      <c r="M194" s="11" t="n"/>
      <c r="N194" s="11" t="n"/>
      <c r="O194" s="12" t="n"/>
      <c r="P194" s="11" t="n"/>
      <c r="Q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11" t="n"/>
      <c r="L195" s="11" t="n"/>
      <c r="M195" s="11" t="n"/>
      <c r="N195" s="11" t="n"/>
      <c r="O195" s="12" t="n"/>
      <c r="P195" s="11" t="n"/>
      <c r="Q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11" t="n"/>
      <c r="L196" s="11" t="n"/>
      <c r="M196" s="11" t="n"/>
      <c r="N196" s="11" t="n"/>
      <c r="O196" s="12" t="n"/>
      <c r="P196" s="11" t="n"/>
      <c r="Q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11" t="n"/>
      <c r="L197" s="11" t="n"/>
      <c r="M197" s="11" t="n"/>
      <c r="N197" s="11" t="n"/>
      <c r="O197" s="12" t="n"/>
      <c r="P197" s="11" t="n"/>
      <c r="Q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11" t="n"/>
      <c r="L198" s="11" t="n"/>
      <c r="M198" s="11" t="n"/>
      <c r="N198" s="11" t="n"/>
      <c r="O198" s="12" t="n"/>
      <c r="P198" s="11" t="n"/>
      <c r="Q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11" t="n"/>
      <c r="L199" s="11" t="n"/>
      <c r="M199" s="11" t="n"/>
      <c r="N199" s="11" t="n"/>
      <c r="O199" s="12" t="n"/>
      <c r="P199" s="11" t="n"/>
      <c r="Q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11" t="n"/>
      <c r="L200" s="11" t="n"/>
      <c r="M200" s="11" t="n"/>
      <c r="N200" s="11" t="n"/>
      <c r="O200" s="12" t="n"/>
      <c r="P200" s="11" t="n"/>
      <c r="Q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11" t="n"/>
      <c r="L201" s="11" t="n"/>
      <c r="M201" s="11" t="n"/>
      <c r="N201" s="11" t="n"/>
      <c r="O201" s="12" t="n"/>
      <c r="P201" s="11" t="n"/>
      <c r="Q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11" t="n"/>
      <c r="L202" s="11" t="n"/>
      <c r="M202" s="11" t="n"/>
      <c r="N202" s="11" t="n"/>
      <c r="O202" s="12" t="n"/>
      <c r="P202" s="11" t="n"/>
      <c r="Q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11" t="n"/>
      <c r="L203" s="11" t="n"/>
      <c r="M203" s="11" t="n"/>
      <c r="N203" s="11" t="n"/>
      <c r="O203" s="12" t="n"/>
      <c r="P203" s="11" t="n"/>
      <c r="Q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11" t="n"/>
      <c r="L204" s="11" t="n"/>
      <c r="M204" s="11" t="n"/>
      <c r="N204" s="11" t="n"/>
      <c r="O204" s="12" t="n"/>
      <c r="P204" s="11" t="n"/>
      <c r="Q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11" t="n"/>
      <c r="L205" s="11" t="n"/>
      <c r="M205" s="11" t="n"/>
      <c r="N205" s="11" t="n"/>
      <c r="O205" s="12" t="n"/>
      <c r="P205" s="11" t="n"/>
      <c r="Q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11" t="n"/>
      <c r="L206" s="11" t="n"/>
      <c r="M206" s="11" t="n"/>
      <c r="N206" s="11" t="n"/>
      <c r="O206" s="12" t="n"/>
      <c r="P206" s="11" t="n"/>
      <c r="Q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11" t="n"/>
      <c r="L207" s="11" t="n"/>
      <c r="M207" s="11" t="n"/>
      <c r="N207" s="11" t="n"/>
      <c r="O207" s="12" t="n"/>
      <c r="P207" s="11" t="n"/>
      <c r="Q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11" t="n"/>
      <c r="L208" s="11" t="n"/>
      <c r="M208" s="11" t="n"/>
      <c r="N208" s="11" t="n"/>
      <c r="O208" s="12" t="n"/>
      <c r="P208" s="11" t="n"/>
      <c r="Q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11" t="n"/>
      <c r="L209" s="11" t="n"/>
      <c r="M209" s="11" t="n"/>
      <c r="N209" s="11" t="n"/>
      <c r="O209" s="12" t="n"/>
      <c r="P209" s="11" t="n"/>
      <c r="Q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11" t="n"/>
      <c r="L210" s="11" t="n"/>
      <c r="M210" s="11" t="n"/>
      <c r="N210" s="11" t="n"/>
      <c r="O210" s="12" t="n"/>
      <c r="P210" s="11" t="n"/>
      <c r="Q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11" t="n"/>
      <c r="L211" s="11" t="n"/>
      <c r="M211" s="11" t="n"/>
      <c r="N211" s="11" t="n"/>
      <c r="O211" s="12" t="n"/>
      <c r="P211" s="11" t="n"/>
      <c r="Q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11" t="n"/>
      <c r="L212" s="11" t="n"/>
      <c r="M212" s="11" t="n"/>
      <c r="N212" s="11" t="n"/>
      <c r="O212" s="12" t="n"/>
      <c r="P212" s="11" t="n"/>
      <c r="Q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11" t="n"/>
      <c r="L213" s="11" t="n"/>
      <c r="M213" s="11" t="n"/>
      <c r="N213" s="11" t="n"/>
      <c r="O213" s="12" t="n"/>
      <c r="P213" s="11" t="n"/>
      <c r="Q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11" t="n"/>
      <c r="L214" s="11" t="n"/>
      <c r="M214" s="11" t="n"/>
      <c r="N214" s="11" t="n"/>
      <c r="O214" s="12" t="n"/>
      <c r="P214" s="11" t="n"/>
      <c r="Q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11" t="n"/>
      <c r="L215" s="11" t="n"/>
      <c r="M215" s="11" t="n"/>
      <c r="N215" s="11" t="n"/>
      <c r="O215" s="12" t="n"/>
      <c r="P215" s="11" t="n"/>
      <c r="Q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11" t="n"/>
      <c r="L216" s="11" t="n"/>
      <c r="M216" s="11" t="n"/>
      <c r="N216" s="11" t="n"/>
      <c r="O216" s="12" t="n"/>
      <c r="P216" s="11" t="n"/>
      <c r="Q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11" t="n"/>
      <c r="L217" s="11" t="n"/>
      <c r="M217" s="11" t="n"/>
      <c r="N217" s="11" t="n"/>
      <c r="O217" s="12" t="n"/>
      <c r="P217" s="11" t="n"/>
      <c r="Q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11" t="n"/>
      <c r="L218" s="11" t="n"/>
      <c r="M218" s="11" t="n"/>
      <c r="N218" s="11" t="n"/>
      <c r="O218" s="12" t="n"/>
      <c r="P218" s="11" t="n"/>
      <c r="Q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11" t="n"/>
      <c r="L219" s="11" t="n"/>
      <c r="M219" s="11" t="n"/>
      <c r="N219" s="11" t="n"/>
      <c r="O219" s="12" t="n"/>
      <c r="P219" s="11" t="n"/>
      <c r="Q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11" t="n"/>
      <c r="L220" s="11" t="n"/>
      <c r="M220" s="11" t="n"/>
      <c r="N220" s="11" t="n"/>
      <c r="O220" s="12" t="n"/>
      <c r="P220" s="11" t="n"/>
      <c r="Q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11" t="n"/>
      <c r="L221" s="11" t="n"/>
      <c r="M221" s="11" t="n"/>
      <c r="N221" s="11" t="n"/>
      <c r="O221" s="12" t="n"/>
      <c r="P221" s="11" t="n"/>
      <c r="Q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11" t="n"/>
      <c r="L222" s="11" t="n"/>
      <c r="M222" s="11" t="n"/>
      <c r="N222" s="11" t="n"/>
      <c r="O222" s="12" t="n"/>
      <c r="P222" s="11" t="n"/>
      <c r="Q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11" t="n"/>
      <c r="L223" s="11" t="n"/>
      <c r="M223" s="11" t="n"/>
      <c r="N223" s="11" t="n"/>
      <c r="O223" s="12" t="n"/>
      <c r="P223" s="11" t="n"/>
      <c r="Q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11" t="n"/>
      <c r="L224" s="11" t="n"/>
      <c r="M224" s="11" t="n"/>
      <c r="N224" s="11" t="n"/>
      <c r="O224" s="12" t="n"/>
      <c r="P224" s="11" t="n"/>
      <c r="Q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11" t="n"/>
      <c r="L225" s="11" t="n"/>
      <c r="M225" s="11" t="n"/>
      <c r="N225" s="11" t="n"/>
      <c r="O225" s="12" t="n"/>
      <c r="P225" s="11" t="n"/>
      <c r="Q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11" t="n"/>
      <c r="L226" s="11" t="n"/>
      <c r="M226" s="11" t="n"/>
      <c r="N226" s="11" t="n"/>
      <c r="O226" s="12" t="n"/>
      <c r="P226" s="11" t="n"/>
      <c r="Q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11" t="n"/>
      <c r="L227" s="11" t="n"/>
      <c r="M227" s="11" t="n"/>
      <c r="N227" s="11" t="n"/>
      <c r="O227" s="12" t="n"/>
      <c r="P227" s="11" t="n"/>
      <c r="Q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11" t="n"/>
      <c r="L228" s="11" t="n"/>
      <c r="M228" s="11" t="n"/>
      <c r="N228" s="11" t="n"/>
      <c r="O228" s="12" t="n"/>
      <c r="P228" s="11" t="n"/>
      <c r="Q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11" t="n"/>
      <c r="L229" s="11" t="n"/>
      <c r="M229" s="11" t="n"/>
      <c r="N229" s="11" t="n"/>
      <c r="O229" s="12" t="n"/>
      <c r="P229" s="11" t="n"/>
      <c r="Q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11" t="n"/>
      <c r="L230" s="11" t="n"/>
      <c r="M230" s="11" t="n"/>
      <c r="N230" s="11" t="n"/>
      <c r="O230" s="12" t="n"/>
      <c r="P230" s="11" t="n"/>
      <c r="Q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11" t="n"/>
      <c r="L231" s="11" t="n"/>
      <c r="M231" s="11" t="n"/>
      <c r="N231" s="11" t="n"/>
      <c r="O231" s="12" t="n"/>
      <c r="P231" s="11" t="n"/>
      <c r="Q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11" t="n"/>
      <c r="L232" s="11" t="n"/>
      <c r="M232" s="11" t="n"/>
      <c r="N232" s="11" t="n"/>
      <c r="O232" s="12" t="n"/>
      <c r="P232" s="11" t="n"/>
      <c r="Q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11" t="n"/>
      <c r="L233" s="11" t="n"/>
      <c r="M233" s="11" t="n"/>
      <c r="N233" s="11" t="n"/>
      <c r="O233" s="12" t="n"/>
      <c r="P233" s="11" t="n"/>
      <c r="Q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11" t="n"/>
      <c r="L234" s="11" t="n"/>
      <c r="M234" s="11" t="n"/>
      <c r="N234" s="11" t="n"/>
      <c r="O234" s="12" t="n"/>
      <c r="P234" s="11" t="n"/>
      <c r="Q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11" t="n"/>
      <c r="L235" s="11" t="n"/>
      <c r="M235" s="11" t="n"/>
      <c r="N235" s="11" t="n"/>
      <c r="O235" s="12" t="n"/>
      <c r="P235" s="11" t="n"/>
      <c r="Q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11" t="n"/>
      <c r="L236" s="11" t="n"/>
      <c r="M236" s="11" t="n"/>
      <c r="N236" s="11" t="n"/>
      <c r="O236" s="12" t="n"/>
      <c r="P236" s="11" t="n"/>
      <c r="Q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11" t="n"/>
      <c r="L237" s="11" t="n"/>
      <c r="M237" s="11" t="n"/>
      <c r="N237" s="11" t="n"/>
      <c r="O237" s="12" t="n"/>
      <c r="P237" s="11" t="n"/>
      <c r="Q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11" t="n"/>
      <c r="L238" s="11" t="n"/>
      <c r="M238" s="11" t="n"/>
      <c r="N238" s="11" t="n"/>
      <c r="O238" s="12" t="n"/>
      <c r="P238" s="11" t="n"/>
      <c r="Q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11" t="n"/>
      <c r="L239" s="11" t="n"/>
      <c r="M239" s="11" t="n"/>
      <c r="N239" s="11" t="n"/>
      <c r="O239" s="12" t="n"/>
      <c r="P239" s="11" t="n"/>
      <c r="Q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11" t="n"/>
      <c r="L240" s="11" t="n"/>
      <c r="M240" s="11" t="n"/>
      <c r="N240" s="11" t="n"/>
      <c r="O240" s="12" t="n"/>
      <c r="P240" s="11" t="n"/>
      <c r="Q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11" t="n"/>
      <c r="L241" s="11" t="n"/>
      <c r="M241" s="11" t="n"/>
      <c r="N241" s="11" t="n"/>
      <c r="O241" s="12" t="n"/>
      <c r="P241" s="11" t="n"/>
      <c r="Q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11" t="n"/>
      <c r="L242" s="11" t="n"/>
      <c r="M242" s="11" t="n"/>
      <c r="N242" s="11" t="n"/>
      <c r="O242" s="12" t="n"/>
      <c r="P242" s="11" t="n"/>
      <c r="Q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11" t="n"/>
      <c r="L243" s="11" t="n"/>
      <c r="M243" s="11" t="n"/>
      <c r="N243" s="11" t="n"/>
      <c r="O243" s="12" t="n"/>
      <c r="P243" s="11" t="n"/>
      <c r="Q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11" t="n"/>
      <c r="L244" s="11" t="n"/>
      <c r="M244" s="11" t="n"/>
      <c r="N244" s="11" t="n"/>
      <c r="O244" s="12" t="n"/>
      <c r="P244" s="11" t="n"/>
      <c r="Q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11" t="n"/>
      <c r="L245" s="11" t="n"/>
      <c r="M245" s="11" t="n"/>
      <c r="N245" s="11" t="n"/>
      <c r="O245" s="12" t="n"/>
      <c r="P245" s="11" t="n"/>
      <c r="Q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11" t="n"/>
      <c r="L246" s="11" t="n"/>
      <c r="M246" s="11" t="n"/>
      <c r="N246" s="11" t="n"/>
      <c r="O246" s="12" t="n"/>
      <c r="P246" s="11" t="n"/>
      <c r="Q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11" t="n"/>
      <c r="L247" s="11" t="n"/>
      <c r="M247" s="11" t="n"/>
      <c r="N247" s="11" t="n"/>
      <c r="O247" s="12" t="n"/>
      <c r="P247" s="11" t="n"/>
      <c r="Q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11" t="n"/>
      <c r="L248" s="11" t="n"/>
      <c r="M248" s="11" t="n"/>
      <c r="N248" s="11" t="n"/>
      <c r="O248" s="12" t="n"/>
      <c r="P248" s="11" t="n"/>
      <c r="Q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11" t="n"/>
      <c r="L249" s="11" t="n"/>
      <c r="M249" s="11" t="n"/>
      <c r="N249" s="11" t="n"/>
      <c r="O249" s="12" t="n"/>
      <c r="P249" s="11" t="n"/>
      <c r="Q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11" t="n"/>
      <c r="L250" s="11" t="n"/>
      <c r="M250" s="11" t="n"/>
      <c r="N250" s="11" t="n"/>
      <c r="O250" s="12" t="n"/>
      <c r="P250" s="11" t="n"/>
      <c r="Q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11" t="n"/>
      <c r="L251" s="11" t="n"/>
      <c r="M251" s="11" t="n"/>
      <c r="N251" s="11" t="n"/>
      <c r="O251" s="12" t="n"/>
      <c r="P251" s="11" t="n"/>
      <c r="Q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11" t="n"/>
      <c r="L252" s="11" t="n"/>
      <c r="M252" s="11" t="n"/>
      <c r="N252" s="11" t="n"/>
      <c r="O252" s="12" t="n"/>
      <c r="P252" s="11" t="n"/>
      <c r="Q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11" t="n"/>
      <c r="L253" s="11" t="n"/>
      <c r="M253" s="11" t="n"/>
      <c r="N253" s="11" t="n"/>
      <c r="O253" s="12" t="n"/>
      <c r="P253" s="11" t="n"/>
      <c r="Q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11" t="n"/>
      <c r="L254" s="11" t="n"/>
      <c r="M254" s="11" t="n"/>
      <c r="N254" s="11" t="n"/>
      <c r="O254" s="12" t="n"/>
      <c r="P254" s="11" t="n"/>
      <c r="Q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11" t="n"/>
      <c r="L255" s="11" t="n"/>
      <c r="M255" s="11" t="n"/>
      <c r="N255" s="11" t="n"/>
      <c r="O255" s="12" t="n"/>
      <c r="P255" s="11" t="n"/>
      <c r="Q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11" t="n"/>
      <c r="L256" s="11" t="n"/>
      <c r="M256" s="11" t="n"/>
      <c r="N256" s="11" t="n"/>
      <c r="O256" s="12" t="n"/>
      <c r="P256" s="11" t="n"/>
      <c r="Q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11" t="n"/>
      <c r="L257" s="11" t="n"/>
      <c r="M257" s="11" t="n"/>
      <c r="N257" s="11" t="n"/>
      <c r="O257" s="12" t="n"/>
      <c r="P257" s="11" t="n"/>
      <c r="Q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11" t="n"/>
      <c r="L258" s="11" t="n"/>
      <c r="M258" s="11" t="n"/>
      <c r="N258" s="11" t="n"/>
      <c r="O258" s="12" t="n"/>
      <c r="P258" s="11" t="n"/>
      <c r="Q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11" t="n"/>
      <c r="L259" s="11" t="n"/>
      <c r="M259" s="11" t="n"/>
      <c r="N259" s="11" t="n"/>
      <c r="O259" s="12" t="n"/>
      <c r="P259" s="11" t="n"/>
      <c r="Q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11" t="n"/>
      <c r="L260" s="11" t="n"/>
      <c r="M260" s="11" t="n"/>
      <c r="N260" s="11" t="n"/>
      <c r="O260" s="12" t="n"/>
      <c r="P260" s="11" t="n"/>
      <c r="Q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11" t="n"/>
      <c r="L261" s="11" t="n"/>
      <c r="M261" s="11" t="n"/>
      <c r="N261" s="11" t="n"/>
      <c r="O261" s="12" t="n"/>
      <c r="P261" s="11" t="n"/>
      <c r="Q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11" t="n"/>
      <c r="L262" s="11" t="n"/>
      <c r="M262" s="11" t="n"/>
      <c r="N262" s="11" t="n"/>
      <c r="O262" s="12" t="n"/>
      <c r="P262" s="11" t="n"/>
      <c r="Q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11" t="n"/>
      <c r="L263" s="11" t="n"/>
      <c r="M263" s="11" t="n"/>
      <c r="N263" s="11" t="n"/>
      <c r="O263" s="12" t="n"/>
      <c r="P263" s="11" t="n"/>
      <c r="Q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11" t="n"/>
      <c r="L264" s="11" t="n"/>
      <c r="M264" s="11" t="n"/>
      <c r="N264" s="11" t="n"/>
      <c r="O264" s="12" t="n"/>
      <c r="P264" s="11" t="n"/>
      <c r="Q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11" t="n"/>
      <c r="L265" s="11" t="n"/>
      <c r="M265" s="11" t="n"/>
      <c r="N265" s="11" t="n"/>
      <c r="O265" s="12" t="n"/>
      <c r="P265" s="11" t="n"/>
      <c r="Q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11" t="n"/>
      <c r="L266" s="11" t="n"/>
      <c r="M266" s="11" t="n"/>
      <c r="N266" s="11" t="n"/>
      <c r="O266" s="12" t="n"/>
      <c r="P266" s="11" t="n"/>
      <c r="Q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11" t="n"/>
      <c r="L267" s="11" t="n"/>
      <c r="M267" s="11" t="n"/>
      <c r="N267" s="11" t="n"/>
      <c r="O267" s="12" t="n"/>
      <c r="P267" s="11" t="n"/>
      <c r="Q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11" t="n"/>
      <c r="L268" s="11" t="n"/>
      <c r="M268" s="11" t="n"/>
      <c r="N268" s="11" t="n"/>
      <c r="O268" s="12" t="n"/>
      <c r="P268" s="11" t="n"/>
      <c r="Q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11" t="n"/>
      <c r="L269" s="11" t="n"/>
      <c r="M269" s="11" t="n"/>
      <c r="N269" s="11" t="n"/>
      <c r="O269" s="12" t="n"/>
      <c r="P269" s="11" t="n"/>
      <c r="Q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11" t="n"/>
      <c r="L270" s="11" t="n"/>
      <c r="M270" s="11" t="n"/>
      <c r="N270" s="11" t="n"/>
      <c r="O270" s="12" t="n"/>
      <c r="P270" s="11" t="n"/>
      <c r="Q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11" t="n"/>
      <c r="L271" s="11" t="n"/>
      <c r="M271" s="11" t="n"/>
      <c r="N271" s="11" t="n"/>
      <c r="O271" s="12" t="n"/>
      <c r="P271" s="11" t="n"/>
      <c r="Q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11" t="n"/>
      <c r="L272" s="11" t="n"/>
      <c r="M272" s="11" t="n"/>
      <c r="N272" s="11" t="n"/>
      <c r="O272" s="12" t="n"/>
      <c r="P272" s="11" t="n"/>
      <c r="Q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11" t="n"/>
      <c r="L273" s="11" t="n"/>
      <c r="M273" s="11" t="n"/>
      <c r="N273" s="11" t="n"/>
      <c r="O273" s="12" t="n"/>
      <c r="P273" s="11" t="n"/>
      <c r="Q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11" t="n"/>
      <c r="L274" s="11" t="n"/>
      <c r="M274" s="11" t="n"/>
      <c r="N274" s="11" t="n"/>
      <c r="O274" s="12" t="n"/>
      <c r="P274" s="11" t="n"/>
      <c r="Q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11" t="n"/>
      <c r="L275" s="11" t="n"/>
      <c r="M275" s="11" t="n"/>
      <c r="N275" s="11" t="n"/>
      <c r="O275" s="12" t="n"/>
      <c r="P275" s="11" t="n"/>
      <c r="Q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11" t="n"/>
      <c r="L276" s="11" t="n"/>
      <c r="M276" s="11" t="n"/>
      <c r="N276" s="11" t="n"/>
      <c r="O276" s="12" t="n"/>
      <c r="P276" s="11" t="n"/>
      <c r="Q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11" t="n"/>
      <c r="L277" s="11" t="n"/>
      <c r="M277" s="11" t="n"/>
      <c r="N277" s="11" t="n"/>
      <c r="O277" s="12" t="n"/>
      <c r="P277" s="11" t="n"/>
      <c r="Q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11" t="n"/>
      <c r="L278" s="11" t="n"/>
      <c r="M278" s="11" t="n"/>
      <c r="N278" s="11" t="n"/>
      <c r="O278" s="12" t="n"/>
      <c r="P278" s="11" t="n"/>
      <c r="Q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11" t="n"/>
      <c r="L279" s="11" t="n"/>
      <c r="M279" s="11" t="n"/>
      <c r="N279" s="11" t="n"/>
      <c r="O279" s="12" t="n"/>
      <c r="P279" s="11" t="n"/>
      <c r="Q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11" t="n"/>
      <c r="L280" s="11" t="n"/>
      <c r="M280" s="11" t="n"/>
      <c r="N280" s="11" t="n"/>
      <c r="O280" s="12" t="n"/>
      <c r="P280" s="11" t="n"/>
      <c r="Q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11" t="n"/>
      <c r="L281" s="11" t="n"/>
      <c r="M281" s="11" t="n"/>
      <c r="N281" s="11" t="n"/>
      <c r="O281" s="12" t="n"/>
      <c r="P281" s="11" t="n"/>
      <c r="Q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11" t="n"/>
      <c r="L282" s="11" t="n"/>
      <c r="M282" s="11" t="n"/>
      <c r="N282" s="11" t="n"/>
      <c r="O282" s="12" t="n"/>
      <c r="P282" s="11" t="n"/>
      <c r="Q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11" t="n"/>
      <c r="L283" s="11" t="n"/>
      <c r="M283" s="11" t="n"/>
      <c r="N283" s="11" t="n"/>
      <c r="O283" s="12" t="n"/>
      <c r="P283" s="11" t="n"/>
      <c r="Q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11" t="n"/>
      <c r="L284" s="11" t="n"/>
      <c r="M284" s="11" t="n"/>
      <c r="N284" s="11" t="n"/>
      <c r="O284" s="12" t="n"/>
      <c r="P284" s="11" t="n"/>
      <c r="Q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11" t="n"/>
      <c r="L285" s="11" t="n"/>
      <c r="M285" s="11" t="n"/>
      <c r="N285" s="11" t="n"/>
      <c r="O285" s="12" t="n"/>
      <c r="P285" s="11" t="n"/>
      <c r="Q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11" t="n"/>
      <c r="L286" s="11" t="n"/>
      <c r="M286" s="11" t="n"/>
      <c r="N286" s="11" t="n"/>
      <c r="O286" s="12" t="n"/>
      <c r="P286" s="11" t="n"/>
      <c r="Q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11" t="n"/>
      <c r="L287" s="11" t="n"/>
      <c r="M287" s="11" t="n"/>
      <c r="N287" s="11" t="n"/>
      <c r="O287" s="12" t="n"/>
      <c r="P287" s="11" t="n"/>
      <c r="Q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11" t="n"/>
      <c r="L288" s="11" t="n"/>
      <c r="M288" s="11" t="n"/>
      <c r="N288" s="11" t="n"/>
      <c r="O288" s="12" t="n"/>
      <c r="P288" s="11" t="n"/>
      <c r="Q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11" t="n"/>
      <c r="L289" s="11" t="n"/>
      <c r="M289" s="11" t="n"/>
      <c r="N289" s="11" t="n"/>
      <c r="O289" s="12" t="n"/>
      <c r="P289" s="11" t="n"/>
      <c r="Q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11" t="n"/>
      <c r="L290" s="11" t="n"/>
      <c r="M290" s="11" t="n"/>
      <c r="N290" s="11" t="n"/>
      <c r="O290" s="12" t="n"/>
      <c r="P290" s="11" t="n"/>
      <c r="Q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11" t="n"/>
      <c r="L291" s="11" t="n"/>
      <c r="M291" s="11" t="n"/>
      <c r="N291" s="11" t="n"/>
      <c r="O291" s="12" t="n"/>
      <c r="P291" s="11" t="n"/>
      <c r="Q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11" t="n"/>
      <c r="L292" s="11" t="n"/>
      <c r="M292" s="11" t="n"/>
      <c r="N292" s="11" t="n"/>
      <c r="O292" s="12" t="n"/>
      <c r="P292" s="11" t="n"/>
      <c r="Q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11" t="n"/>
      <c r="L293" s="11" t="n"/>
      <c r="M293" s="11" t="n"/>
      <c r="N293" s="11" t="n"/>
      <c r="O293" s="12" t="n"/>
      <c r="P293" s="11" t="n"/>
      <c r="Q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11" t="n"/>
      <c r="L294" s="11" t="n"/>
      <c r="M294" s="11" t="n"/>
      <c r="N294" s="11" t="n"/>
      <c r="O294" s="12" t="n"/>
      <c r="P294" s="11" t="n"/>
      <c r="Q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11" t="n"/>
      <c r="L295" s="11" t="n"/>
      <c r="M295" s="11" t="n"/>
      <c r="N295" s="11" t="n"/>
      <c r="O295" s="12" t="n"/>
      <c r="P295" s="11" t="n"/>
      <c r="Q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11" t="n"/>
      <c r="L296" s="11" t="n"/>
      <c r="M296" s="11" t="n"/>
      <c r="N296" s="11" t="n"/>
      <c r="O296" s="12" t="n"/>
      <c r="P296" s="11" t="n"/>
      <c r="Q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11" t="n"/>
      <c r="L297" s="11" t="n"/>
      <c r="M297" s="11" t="n"/>
      <c r="N297" s="11" t="n"/>
      <c r="O297" s="12" t="n"/>
      <c r="P297" s="11" t="n"/>
      <c r="Q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11" t="n"/>
      <c r="L298" s="11" t="n"/>
      <c r="M298" s="11" t="n"/>
      <c r="N298" s="11" t="n"/>
      <c r="O298" s="12" t="n"/>
      <c r="P298" s="11" t="n"/>
      <c r="Q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11" t="n"/>
      <c r="L299" s="11" t="n"/>
      <c r="M299" s="11" t="n"/>
      <c r="N299" s="11" t="n"/>
      <c r="O299" s="12" t="n"/>
      <c r="P299" s="11" t="n"/>
      <c r="Q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11" t="n"/>
      <c r="L300" s="11" t="n"/>
      <c r="M300" s="11" t="n"/>
      <c r="N300" s="11" t="n"/>
      <c r="O300" s="12" t="n"/>
      <c r="P300" s="11" t="n"/>
      <c r="Q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11" t="n"/>
      <c r="L301" s="11" t="n"/>
      <c r="M301" s="11" t="n"/>
      <c r="N301" s="11" t="n"/>
      <c r="O301" s="12" t="n"/>
      <c r="P301" s="11" t="n"/>
      <c r="Q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11" t="n"/>
      <c r="L302" s="11" t="n"/>
      <c r="M302" s="11" t="n"/>
      <c r="N302" s="11" t="n"/>
      <c r="O302" s="12" t="n"/>
      <c r="P302" s="11" t="n"/>
      <c r="Q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11" t="n"/>
      <c r="L303" s="11" t="n"/>
      <c r="M303" s="11" t="n"/>
      <c r="N303" s="11" t="n"/>
      <c r="O303" s="12" t="n"/>
      <c r="P303" s="11" t="n"/>
      <c r="Q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11" t="n"/>
      <c r="L304" s="11" t="n"/>
      <c r="M304" s="11" t="n"/>
      <c r="N304" s="11" t="n"/>
      <c r="O304" s="12" t="n"/>
      <c r="P304" s="11" t="n"/>
      <c r="Q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11" t="n"/>
      <c r="L305" s="11" t="n"/>
      <c r="M305" s="11" t="n"/>
      <c r="N305" s="11" t="n"/>
      <c r="O305" s="12" t="n"/>
      <c r="P305" s="11" t="n"/>
      <c r="Q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11" t="n"/>
      <c r="L306" s="11" t="n"/>
      <c r="M306" s="11" t="n"/>
      <c r="N306" s="11" t="n"/>
      <c r="O306" s="12" t="n"/>
      <c r="P306" s="11" t="n"/>
      <c r="Q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11" t="n"/>
      <c r="L307" s="11" t="n"/>
      <c r="M307" s="11" t="n"/>
      <c r="N307" s="11" t="n"/>
      <c r="O307" s="12" t="n"/>
      <c r="P307" s="11" t="n"/>
      <c r="Q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11" t="n"/>
      <c r="L308" s="11" t="n"/>
      <c r="M308" s="11" t="n"/>
      <c r="N308" s="11" t="n"/>
      <c r="O308" s="12" t="n"/>
      <c r="P308" s="11" t="n"/>
      <c r="Q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11" t="n"/>
      <c r="L309" s="11" t="n"/>
      <c r="M309" s="11" t="n"/>
      <c r="N309" s="11" t="n"/>
      <c r="O309" s="12" t="n"/>
      <c r="P309" s="11" t="n"/>
      <c r="Q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11" t="n"/>
      <c r="L310" s="11" t="n"/>
      <c r="M310" s="11" t="n"/>
      <c r="N310" s="11" t="n"/>
      <c r="O310" s="12" t="n"/>
      <c r="P310" s="11" t="n"/>
      <c r="Q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11" t="n"/>
      <c r="L311" s="11" t="n"/>
      <c r="M311" s="11" t="n"/>
      <c r="N311" s="11" t="n"/>
      <c r="O311" s="12" t="n"/>
      <c r="P311" s="11" t="n"/>
      <c r="Q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11" t="n"/>
      <c r="L312" s="11" t="n"/>
      <c r="M312" s="11" t="n"/>
      <c r="N312" s="11" t="n"/>
      <c r="O312" s="12" t="n"/>
      <c r="P312" s="11" t="n"/>
      <c r="Q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11" t="n"/>
      <c r="L313" s="11" t="n"/>
      <c r="M313" s="11" t="n"/>
      <c r="N313" s="11" t="n"/>
      <c r="O313" s="12" t="n"/>
      <c r="P313" s="11" t="n"/>
      <c r="Q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11" t="n"/>
      <c r="L314" s="11" t="n"/>
      <c r="M314" s="11" t="n"/>
      <c r="N314" s="11" t="n"/>
      <c r="O314" s="12" t="n"/>
      <c r="P314" s="11" t="n"/>
      <c r="Q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11" t="n"/>
      <c r="L315" s="11" t="n"/>
      <c r="M315" s="11" t="n"/>
      <c r="N315" s="11" t="n"/>
      <c r="O315" s="12" t="n"/>
      <c r="P315" s="11" t="n"/>
      <c r="Q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11" t="n"/>
      <c r="L316" s="11" t="n"/>
      <c r="M316" s="11" t="n"/>
      <c r="N316" s="11" t="n"/>
      <c r="O316" s="12" t="n"/>
      <c r="P316" s="11" t="n"/>
      <c r="Q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11" t="n"/>
      <c r="L317" s="11" t="n"/>
      <c r="M317" s="11" t="n"/>
      <c r="N317" s="11" t="n"/>
      <c r="O317" s="12" t="n"/>
      <c r="P317" s="11" t="n"/>
      <c r="Q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11" t="n"/>
      <c r="L318" s="11" t="n"/>
      <c r="M318" s="11" t="n"/>
      <c r="N318" s="11" t="n"/>
      <c r="O318" s="12" t="n"/>
      <c r="P318" s="11" t="n"/>
      <c r="Q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11" t="n"/>
      <c r="L319" s="11" t="n"/>
      <c r="M319" s="11" t="n"/>
      <c r="N319" s="11" t="n"/>
      <c r="O319" s="12" t="n"/>
      <c r="P319" s="11" t="n"/>
      <c r="Q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11" t="n"/>
      <c r="L320" s="11" t="n"/>
      <c r="M320" s="11" t="n"/>
      <c r="N320" s="11" t="n"/>
      <c r="O320" s="12" t="n"/>
      <c r="P320" s="11" t="n"/>
      <c r="Q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11" t="n"/>
      <c r="L321" s="11" t="n"/>
      <c r="M321" s="11" t="n"/>
      <c r="N321" s="11" t="n"/>
      <c r="O321" s="12" t="n"/>
      <c r="P321" s="11" t="n"/>
      <c r="Q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11" t="n"/>
      <c r="L322" s="11" t="n"/>
      <c r="M322" s="11" t="n"/>
      <c r="N322" s="11" t="n"/>
      <c r="O322" s="12" t="n"/>
      <c r="P322" s="11" t="n"/>
      <c r="Q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11" t="n"/>
      <c r="L323" s="11" t="n"/>
      <c r="M323" s="11" t="n"/>
      <c r="N323" s="11" t="n"/>
      <c r="O323" s="12" t="n"/>
      <c r="P323" s="11" t="n"/>
      <c r="Q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11" t="n"/>
      <c r="L324" s="11" t="n"/>
      <c r="M324" s="11" t="n"/>
      <c r="N324" s="11" t="n"/>
      <c r="O324" s="12" t="n"/>
      <c r="P324" s="11" t="n"/>
      <c r="Q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11" t="n"/>
      <c r="L325" s="11" t="n"/>
      <c r="M325" s="11" t="n"/>
      <c r="N325" s="11" t="n"/>
      <c r="O325" s="12" t="n"/>
      <c r="P325" s="11" t="n"/>
      <c r="Q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11" t="n"/>
      <c r="L326" s="11" t="n"/>
      <c r="M326" s="11" t="n"/>
      <c r="N326" s="11" t="n"/>
      <c r="O326" s="12" t="n"/>
      <c r="P326" s="11" t="n"/>
      <c r="Q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11" t="n"/>
      <c r="L327" s="11" t="n"/>
      <c r="M327" s="11" t="n"/>
      <c r="N327" s="11" t="n"/>
      <c r="O327" s="12" t="n"/>
      <c r="P327" s="11" t="n"/>
      <c r="Q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11" t="n"/>
      <c r="L328" s="11" t="n"/>
      <c r="M328" s="11" t="n"/>
      <c r="N328" s="11" t="n"/>
      <c r="O328" s="12" t="n"/>
      <c r="P328" s="11" t="n"/>
      <c r="Q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11" t="n"/>
      <c r="L329" s="11" t="n"/>
      <c r="M329" s="11" t="n"/>
      <c r="N329" s="11" t="n"/>
      <c r="O329" s="12" t="n"/>
      <c r="P329" s="11" t="n"/>
      <c r="Q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11" t="n"/>
      <c r="L330" s="11" t="n"/>
      <c r="M330" s="11" t="n"/>
      <c r="N330" s="11" t="n"/>
      <c r="O330" s="12" t="n"/>
      <c r="P330" s="11" t="n"/>
      <c r="Q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11" t="n"/>
      <c r="L331" s="11" t="n"/>
      <c r="M331" s="11" t="n"/>
      <c r="N331" s="11" t="n"/>
      <c r="O331" s="12" t="n"/>
      <c r="P331" s="11" t="n"/>
      <c r="Q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11" t="n"/>
      <c r="L332" s="11" t="n"/>
      <c r="M332" s="11" t="n"/>
      <c r="N332" s="11" t="n"/>
      <c r="O332" s="12" t="n"/>
      <c r="P332" s="11" t="n"/>
      <c r="Q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11" t="n"/>
      <c r="L333" s="11" t="n"/>
      <c r="M333" s="11" t="n"/>
      <c r="N333" s="11" t="n"/>
      <c r="O333" s="12" t="n"/>
      <c r="P333" s="11" t="n"/>
      <c r="Q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11" t="n"/>
      <c r="L334" s="11" t="n"/>
      <c r="M334" s="11" t="n"/>
      <c r="N334" s="11" t="n"/>
      <c r="O334" s="12" t="n"/>
      <c r="P334" s="11" t="n"/>
      <c r="Q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11" t="n"/>
      <c r="L335" s="11" t="n"/>
      <c r="M335" s="11" t="n"/>
      <c r="N335" s="11" t="n"/>
      <c r="O335" s="12" t="n"/>
      <c r="P335" s="11" t="n"/>
      <c r="Q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11" t="n"/>
      <c r="L336" s="11" t="n"/>
      <c r="M336" s="11" t="n"/>
      <c r="N336" s="11" t="n"/>
      <c r="O336" s="12" t="n"/>
      <c r="P336" s="11" t="n"/>
      <c r="Q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11" t="n"/>
      <c r="L337" s="11" t="n"/>
      <c r="M337" s="11" t="n"/>
      <c r="N337" s="11" t="n"/>
      <c r="O337" s="12" t="n"/>
      <c r="P337" s="11" t="n"/>
      <c r="Q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11" t="n"/>
      <c r="L338" s="11" t="n"/>
      <c r="M338" s="11" t="n"/>
      <c r="N338" s="11" t="n"/>
      <c r="O338" s="12" t="n"/>
      <c r="P338" s="11" t="n"/>
      <c r="Q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11" t="n"/>
      <c r="L339" s="11" t="n"/>
      <c r="M339" s="11" t="n"/>
      <c r="N339" s="11" t="n"/>
      <c r="O339" s="12" t="n"/>
      <c r="P339" s="11" t="n"/>
      <c r="Q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11" t="n"/>
      <c r="L340" s="11" t="n"/>
      <c r="M340" s="11" t="n"/>
      <c r="N340" s="11" t="n"/>
      <c r="O340" s="12" t="n"/>
      <c r="P340" s="11" t="n"/>
      <c r="Q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11" t="n"/>
      <c r="L341" s="11" t="n"/>
      <c r="M341" s="11" t="n"/>
      <c r="N341" s="11" t="n"/>
      <c r="O341" s="12" t="n"/>
      <c r="P341" s="11" t="n"/>
      <c r="Q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11" t="n"/>
      <c r="L342" s="11" t="n"/>
      <c r="M342" s="11" t="n"/>
      <c r="N342" s="11" t="n"/>
      <c r="O342" s="12" t="n"/>
      <c r="P342" s="11" t="n"/>
      <c r="Q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11" t="n"/>
      <c r="L343" s="11" t="n"/>
      <c r="M343" s="11" t="n"/>
      <c r="N343" s="11" t="n"/>
      <c r="O343" s="12" t="n"/>
      <c r="P343" s="11" t="n"/>
      <c r="Q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11" t="n"/>
      <c r="L344" s="11" t="n"/>
      <c r="M344" s="11" t="n"/>
      <c r="N344" s="11" t="n"/>
      <c r="O344" s="12" t="n"/>
      <c r="P344" s="11" t="n"/>
      <c r="Q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11" t="n"/>
      <c r="L345" s="11" t="n"/>
      <c r="M345" s="11" t="n"/>
      <c r="N345" s="11" t="n"/>
      <c r="O345" s="12" t="n"/>
      <c r="P345" s="11" t="n"/>
      <c r="Q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11" t="n"/>
      <c r="L346" s="11" t="n"/>
      <c r="M346" s="11" t="n"/>
      <c r="N346" s="11" t="n"/>
      <c r="O346" s="12" t="n"/>
      <c r="P346" s="11" t="n"/>
      <c r="Q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11" t="n"/>
      <c r="L347" s="11" t="n"/>
      <c r="M347" s="11" t="n"/>
      <c r="N347" s="11" t="n"/>
      <c r="O347" s="12" t="n"/>
      <c r="P347" s="11" t="n"/>
      <c r="Q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11" t="n"/>
      <c r="L348" s="11" t="n"/>
      <c r="M348" s="11" t="n"/>
      <c r="N348" s="11" t="n"/>
      <c r="O348" s="12" t="n"/>
      <c r="P348" s="11" t="n"/>
      <c r="Q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11" t="n"/>
      <c r="L349" s="11" t="n"/>
      <c r="M349" s="11" t="n"/>
      <c r="N349" s="11" t="n"/>
      <c r="O349" s="12" t="n"/>
      <c r="P349" s="11" t="n"/>
      <c r="Q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11" t="n"/>
      <c r="L350" s="11" t="n"/>
      <c r="M350" s="11" t="n"/>
      <c r="N350" s="11" t="n"/>
      <c r="O350" s="12" t="n"/>
      <c r="P350" s="11" t="n"/>
      <c r="Q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11" t="n"/>
      <c r="L351" s="11" t="n"/>
      <c r="M351" s="11" t="n"/>
      <c r="N351" s="11" t="n"/>
      <c r="O351" s="12" t="n"/>
      <c r="P351" s="11" t="n"/>
      <c r="Q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11" t="n"/>
      <c r="L352" s="11" t="n"/>
      <c r="M352" s="11" t="n"/>
      <c r="N352" s="11" t="n"/>
      <c r="O352" s="12" t="n"/>
      <c r="P352" s="11" t="n"/>
      <c r="Q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11" t="n"/>
      <c r="L353" s="11" t="n"/>
      <c r="M353" s="11" t="n"/>
      <c r="N353" s="11" t="n"/>
      <c r="O353" s="12" t="n"/>
      <c r="P353" s="11" t="n"/>
      <c r="Q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11" t="n"/>
      <c r="L354" s="11" t="n"/>
      <c r="M354" s="11" t="n"/>
      <c r="N354" s="11" t="n"/>
      <c r="O354" s="12" t="n"/>
      <c r="P354" s="11" t="n"/>
      <c r="Q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11" t="n"/>
      <c r="L355" s="11" t="n"/>
      <c r="M355" s="11" t="n"/>
      <c r="N355" s="11" t="n"/>
      <c r="O355" s="12" t="n"/>
      <c r="P355" s="11" t="n"/>
      <c r="Q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11" t="n"/>
      <c r="L356" s="11" t="n"/>
      <c r="M356" s="11" t="n"/>
      <c r="N356" s="11" t="n"/>
      <c r="O356" s="12" t="n"/>
      <c r="P356" s="11" t="n"/>
      <c r="Q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11" t="n"/>
      <c r="L357" s="11" t="n"/>
      <c r="M357" s="11" t="n"/>
      <c r="N357" s="11" t="n"/>
      <c r="O357" s="12" t="n"/>
      <c r="P357" s="11" t="n"/>
      <c r="Q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11" t="n"/>
      <c r="L358" s="11" t="n"/>
      <c r="M358" s="11" t="n"/>
      <c r="N358" s="11" t="n"/>
      <c r="O358" s="12" t="n"/>
      <c r="P358" s="11" t="n"/>
      <c r="Q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11" t="n"/>
      <c r="L359" s="11" t="n"/>
      <c r="M359" s="11" t="n"/>
      <c r="N359" s="11" t="n"/>
      <c r="O359" s="12" t="n"/>
      <c r="P359" s="11" t="n"/>
      <c r="Q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11" t="n"/>
      <c r="L360" s="11" t="n"/>
      <c r="M360" s="11" t="n"/>
      <c r="N360" s="11" t="n"/>
      <c r="O360" s="12" t="n"/>
      <c r="P360" s="11" t="n"/>
      <c r="Q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11" t="n"/>
      <c r="L361" s="11" t="n"/>
      <c r="M361" s="11" t="n"/>
      <c r="N361" s="11" t="n"/>
      <c r="O361" s="12" t="n"/>
      <c r="P361" s="11" t="n"/>
      <c r="Q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11" t="n"/>
      <c r="L362" s="11" t="n"/>
      <c r="M362" s="11" t="n"/>
      <c r="N362" s="11" t="n"/>
      <c r="O362" s="12" t="n"/>
      <c r="P362" s="11" t="n"/>
      <c r="Q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11" t="n"/>
      <c r="L363" s="11" t="n"/>
      <c r="M363" s="11" t="n"/>
      <c r="N363" s="11" t="n"/>
      <c r="O363" s="12" t="n"/>
      <c r="P363" s="11" t="n"/>
      <c r="Q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11" t="n"/>
      <c r="L364" s="11" t="n"/>
      <c r="M364" s="11" t="n"/>
      <c r="N364" s="11" t="n"/>
      <c r="O364" s="12" t="n"/>
      <c r="P364" s="11" t="n"/>
      <c r="Q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11" t="n"/>
      <c r="L365" s="11" t="n"/>
      <c r="M365" s="11" t="n"/>
      <c r="N365" s="11" t="n"/>
      <c r="O365" s="12" t="n"/>
      <c r="P365" s="11" t="n"/>
      <c r="Q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11" t="n"/>
      <c r="L366" s="11" t="n"/>
      <c r="M366" s="11" t="n"/>
      <c r="N366" s="11" t="n"/>
      <c r="O366" s="12" t="n"/>
      <c r="P366" s="11" t="n"/>
      <c r="Q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11" t="n"/>
      <c r="L367" s="11" t="n"/>
      <c r="M367" s="11" t="n"/>
      <c r="N367" s="11" t="n"/>
      <c r="O367" s="12" t="n"/>
      <c r="P367" s="11" t="n"/>
      <c r="Q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11" t="n"/>
      <c r="L368" s="11" t="n"/>
      <c r="M368" s="11" t="n"/>
      <c r="N368" s="11" t="n"/>
      <c r="O368" s="12" t="n"/>
      <c r="P368" s="11" t="n"/>
      <c r="Q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11" t="n"/>
      <c r="L369" s="11" t="n"/>
      <c r="M369" s="11" t="n"/>
      <c r="N369" s="11" t="n"/>
      <c r="O369" s="12" t="n"/>
      <c r="P369" s="11" t="n"/>
      <c r="Q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11" t="n"/>
      <c r="L370" s="11" t="n"/>
      <c r="M370" s="11" t="n"/>
      <c r="N370" s="11" t="n"/>
      <c r="O370" s="12" t="n"/>
      <c r="P370" s="11" t="n"/>
      <c r="Q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11" t="n"/>
      <c r="L371" s="11" t="n"/>
      <c r="M371" s="11" t="n"/>
      <c r="N371" s="11" t="n"/>
      <c r="O371" s="12" t="n"/>
      <c r="P371" s="11" t="n"/>
      <c r="Q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11" t="n"/>
      <c r="L372" s="11" t="n"/>
      <c r="M372" s="11" t="n"/>
      <c r="N372" s="11" t="n"/>
      <c r="O372" s="12" t="n"/>
      <c r="P372" s="11" t="n"/>
      <c r="Q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11" t="n"/>
      <c r="L373" s="11" t="n"/>
      <c r="M373" s="11" t="n"/>
      <c r="N373" s="11" t="n"/>
      <c r="O373" s="12" t="n"/>
      <c r="P373" s="11" t="n"/>
      <c r="Q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11" t="n"/>
      <c r="L374" s="11" t="n"/>
      <c r="M374" s="11" t="n"/>
      <c r="N374" s="11" t="n"/>
      <c r="O374" s="12" t="n"/>
      <c r="P374" s="11" t="n"/>
      <c r="Q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11" t="n"/>
      <c r="L375" s="11" t="n"/>
      <c r="M375" s="11" t="n"/>
      <c r="N375" s="11" t="n"/>
      <c r="O375" s="12" t="n"/>
      <c r="P375" s="11" t="n"/>
      <c r="Q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11" t="n"/>
      <c r="L376" s="11" t="n"/>
      <c r="M376" s="11" t="n"/>
      <c r="N376" s="11" t="n"/>
      <c r="O376" s="12" t="n"/>
      <c r="P376" s="11" t="n"/>
      <c r="Q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11" t="n"/>
      <c r="L377" s="11" t="n"/>
      <c r="M377" s="11" t="n"/>
      <c r="N377" s="11" t="n"/>
      <c r="O377" s="12" t="n"/>
      <c r="P377" s="11" t="n"/>
      <c r="Q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11" t="n"/>
      <c r="L378" s="11" t="n"/>
      <c r="M378" s="11" t="n"/>
      <c r="N378" s="11" t="n"/>
      <c r="O378" s="12" t="n"/>
      <c r="P378" s="11" t="n"/>
      <c r="Q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11" t="n"/>
      <c r="L379" s="11" t="n"/>
      <c r="M379" s="11" t="n"/>
      <c r="N379" s="11" t="n"/>
      <c r="O379" s="12" t="n"/>
      <c r="P379" s="11" t="n"/>
      <c r="Q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11" t="n"/>
      <c r="L380" s="11" t="n"/>
      <c r="M380" s="11" t="n"/>
      <c r="N380" s="11" t="n"/>
      <c r="O380" s="12" t="n"/>
      <c r="P380" s="11" t="n"/>
      <c r="Q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11" t="n"/>
      <c r="L381" s="11" t="n"/>
      <c r="M381" s="11" t="n"/>
      <c r="N381" s="11" t="n"/>
      <c r="O381" s="12" t="n"/>
      <c r="P381" s="11" t="n"/>
      <c r="Q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11" t="n"/>
      <c r="L382" s="11" t="n"/>
      <c r="M382" s="11" t="n"/>
      <c r="N382" s="11" t="n"/>
      <c r="O382" s="12" t="n"/>
      <c r="P382" s="11" t="n"/>
      <c r="Q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11" t="n"/>
      <c r="L383" s="11" t="n"/>
      <c r="M383" s="11" t="n"/>
      <c r="N383" s="11" t="n"/>
      <c r="O383" s="12" t="n"/>
      <c r="P383" s="11" t="n"/>
      <c r="Q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11" t="n"/>
      <c r="L384" s="11" t="n"/>
      <c r="M384" s="11" t="n"/>
      <c r="N384" s="11" t="n"/>
      <c r="O384" s="12" t="n"/>
      <c r="P384" s="11" t="n"/>
      <c r="Q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11" t="n"/>
      <c r="L385" s="11" t="n"/>
      <c r="M385" s="11" t="n"/>
      <c r="N385" s="11" t="n"/>
      <c r="O385" s="12" t="n"/>
      <c r="P385" s="11" t="n"/>
      <c r="Q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11" t="n"/>
      <c r="L386" s="11" t="n"/>
      <c r="M386" s="11" t="n"/>
      <c r="N386" s="11" t="n"/>
      <c r="O386" s="12" t="n"/>
      <c r="P386" s="11" t="n"/>
      <c r="Q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11" t="n"/>
      <c r="L387" s="11" t="n"/>
      <c r="M387" s="11" t="n"/>
      <c r="N387" s="11" t="n"/>
      <c r="O387" s="12" t="n"/>
      <c r="P387" s="11" t="n"/>
      <c r="Q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11" t="n"/>
      <c r="L388" s="11" t="n"/>
      <c r="M388" s="11" t="n"/>
      <c r="N388" s="11" t="n"/>
      <c r="O388" s="12" t="n"/>
      <c r="P388" s="11" t="n"/>
      <c r="Q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11" t="n"/>
      <c r="L389" s="11" t="n"/>
      <c r="M389" s="11" t="n"/>
      <c r="N389" s="11" t="n"/>
      <c r="O389" s="12" t="n"/>
      <c r="P389" s="11" t="n"/>
      <c r="Q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11" t="n"/>
      <c r="L390" s="11" t="n"/>
      <c r="M390" s="11" t="n"/>
      <c r="N390" s="11" t="n"/>
      <c r="O390" s="12" t="n"/>
      <c r="P390" s="11" t="n"/>
      <c r="Q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11" t="n"/>
      <c r="L391" s="11" t="n"/>
      <c r="M391" s="11" t="n"/>
      <c r="N391" s="11" t="n"/>
      <c r="O391" s="12" t="n"/>
      <c r="P391" s="11" t="n"/>
      <c r="Q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11" t="n"/>
      <c r="L392" s="11" t="n"/>
      <c r="M392" s="11" t="n"/>
      <c r="N392" s="11" t="n"/>
      <c r="O392" s="12" t="n"/>
      <c r="P392" s="11" t="n"/>
      <c r="Q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11" t="n"/>
      <c r="L393" s="11" t="n"/>
      <c r="M393" s="11" t="n"/>
      <c r="N393" s="11" t="n"/>
      <c r="O393" s="12" t="n"/>
      <c r="P393" s="11" t="n"/>
      <c r="Q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11" t="n"/>
      <c r="L394" s="11" t="n"/>
      <c r="M394" s="11" t="n"/>
      <c r="N394" s="11" t="n"/>
      <c r="O394" s="12" t="n"/>
      <c r="P394" s="11" t="n"/>
      <c r="Q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11" t="n"/>
      <c r="L395" s="11" t="n"/>
      <c r="M395" s="11" t="n"/>
      <c r="N395" s="11" t="n"/>
      <c r="O395" s="12" t="n"/>
      <c r="P395" s="11" t="n"/>
      <c r="Q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11" t="n"/>
      <c r="L396" s="11" t="n"/>
      <c r="M396" s="11" t="n"/>
      <c r="N396" s="11" t="n"/>
      <c r="O396" s="12" t="n"/>
      <c r="P396" s="11" t="n"/>
      <c r="Q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11" t="n"/>
      <c r="L397" s="11" t="n"/>
      <c r="M397" s="11" t="n"/>
      <c r="N397" s="11" t="n"/>
      <c r="O397" s="12" t="n"/>
      <c r="P397" s="11" t="n"/>
      <c r="Q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11" t="n"/>
      <c r="L398" s="11" t="n"/>
      <c r="M398" s="11" t="n"/>
      <c r="N398" s="11" t="n"/>
      <c r="O398" s="12" t="n"/>
      <c r="P398" s="11" t="n"/>
      <c r="Q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11" t="n"/>
      <c r="L399" s="11" t="n"/>
      <c r="M399" s="11" t="n"/>
      <c r="N399" s="11" t="n"/>
      <c r="O399" s="12" t="n"/>
      <c r="P399" s="11" t="n"/>
      <c r="Q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11" t="n"/>
      <c r="L400" s="11" t="n"/>
      <c r="M400" s="11" t="n"/>
      <c r="N400" s="11" t="n"/>
      <c r="O400" s="12" t="n"/>
      <c r="P400" s="11" t="n"/>
      <c r="Q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11" t="n"/>
      <c r="L401" s="11" t="n"/>
      <c r="M401" s="11" t="n"/>
      <c r="N401" s="11" t="n"/>
      <c r="O401" s="12" t="n"/>
      <c r="P401" s="11" t="n"/>
      <c r="Q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11" t="n"/>
      <c r="L402" s="11" t="n"/>
      <c r="M402" s="11" t="n"/>
      <c r="N402" s="11" t="n"/>
      <c r="O402" s="12" t="n"/>
      <c r="P402" s="11" t="n"/>
      <c r="Q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11" t="n"/>
      <c r="L403" s="11" t="n"/>
      <c r="M403" s="11" t="n"/>
      <c r="N403" s="11" t="n"/>
      <c r="O403" s="12" t="n"/>
      <c r="P403" s="11" t="n"/>
      <c r="Q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11" t="n"/>
      <c r="L404" s="11" t="n"/>
      <c r="M404" s="11" t="n"/>
      <c r="N404" s="11" t="n"/>
      <c r="O404" s="12" t="n"/>
      <c r="P404" s="11" t="n"/>
      <c r="Q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11" t="n"/>
      <c r="L405" s="11" t="n"/>
      <c r="M405" s="11" t="n"/>
      <c r="N405" s="11" t="n"/>
      <c r="O405" s="12" t="n"/>
      <c r="P405" s="11" t="n"/>
      <c r="Q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11" t="n"/>
      <c r="L406" s="11" t="n"/>
      <c r="M406" s="11" t="n"/>
      <c r="N406" s="11" t="n"/>
      <c r="O406" s="12" t="n"/>
      <c r="P406" s="11" t="n"/>
      <c r="Q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11" t="n"/>
      <c r="L407" s="11" t="n"/>
      <c r="M407" s="11" t="n"/>
      <c r="N407" s="11" t="n"/>
      <c r="O407" s="12" t="n"/>
      <c r="P407" s="11" t="n"/>
      <c r="Q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11" t="n"/>
      <c r="L408" s="11" t="n"/>
      <c r="M408" s="11" t="n"/>
      <c r="N408" s="11" t="n"/>
      <c r="O408" s="12" t="n"/>
      <c r="P408" s="11" t="n"/>
      <c r="Q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11" t="n"/>
      <c r="L409" s="11" t="n"/>
      <c r="M409" s="11" t="n"/>
      <c r="N409" s="11" t="n"/>
      <c r="O409" s="12" t="n"/>
      <c r="P409" s="11" t="n"/>
      <c r="Q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11" t="n"/>
      <c r="L410" s="11" t="n"/>
      <c r="M410" s="11" t="n"/>
      <c r="N410" s="11" t="n"/>
      <c r="O410" s="12" t="n"/>
      <c r="P410" s="11" t="n"/>
      <c r="Q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11" t="n"/>
      <c r="L411" s="11" t="n"/>
      <c r="M411" s="11" t="n"/>
      <c r="N411" s="11" t="n"/>
      <c r="O411" s="12" t="n"/>
      <c r="P411" s="11" t="n"/>
      <c r="Q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11" t="n"/>
      <c r="L412" s="11" t="n"/>
      <c r="M412" s="11" t="n"/>
      <c r="N412" s="11" t="n"/>
      <c r="O412" s="12" t="n"/>
      <c r="P412" s="11" t="n"/>
      <c r="Q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11" t="n"/>
      <c r="L413" s="11" t="n"/>
      <c r="M413" s="11" t="n"/>
      <c r="N413" s="11" t="n"/>
      <c r="O413" s="12" t="n"/>
      <c r="P413" s="11" t="n"/>
      <c r="Q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11" t="n"/>
      <c r="L414" s="11" t="n"/>
      <c r="M414" s="11" t="n"/>
      <c r="N414" s="11" t="n"/>
      <c r="O414" s="12" t="n"/>
      <c r="P414" s="11" t="n"/>
      <c r="Q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11" t="n"/>
      <c r="L415" s="11" t="n"/>
      <c r="M415" s="11" t="n"/>
      <c r="N415" s="11" t="n"/>
      <c r="O415" s="12" t="n"/>
      <c r="P415" s="11" t="n"/>
      <c r="Q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11" t="n"/>
      <c r="L416" s="11" t="n"/>
      <c r="M416" s="11" t="n"/>
      <c r="N416" s="11" t="n"/>
      <c r="O416" s="12" t="n"/>
      <c r="P416" s="11" t="n"/>
      <c r="Q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11" t="n"/>
      <c r="L417" s="11" t="n"/>
      <c r="M417" s="11" t="n"/>
      <c r="N417" s="11" t="n"/>
      <c r="O417" s="12" t="n"/>
      <c r="P417" s="11" t="n"/>
      <c r="Q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11" t="n"/>
      <c r="L418" s="11" t="n"/>
      <c r="M418" s="11" t="n"/>
      <c r="N418" s="11" t="n"/>
      <c r="O418" s="12" t="n"/>
      <c r="P418" s="11" t="n"/>
      <c r="Q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11" t="n"/>
      <c r="L419" s="11" t="n"/>
      <c r="M419" s="11" t="n"/>
      <c r="N419" s="11" t="n"/>
      <c r="O419" s="12" t="n"/>
      <c r="P419" s="11" t="n"/>
      <c r="Q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11" t="n"/>
      <c r="L420" s="11" t="n"/>
      <c r="M420" s="11" t="n"/>
      <c r="N420" s="11" t="n"/>
      <c r="O420" s="12" t="n"/>
      <c r="P420" s="11" t="n"/>
      <c r="Q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11" t="n"/>
      <c r="L421" s="11" t="n"/>
      <c r="M421" s="11" t="n"/>
      <c r="N421" s="11" t="n"/>
      <c r="O421" s="12" t="n"/>
      <c r="P421" s="11" t="n"/>
      <c r="Q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11" t="n"/>
      <c r="L422" s="11" t="n"/>
      <c r="M422" s="11" t="n"/>
      <c r="N422" s="11" t="n"/>
      <c r="O422" s="12" t="n"/>
      <c r="P422" s="11" t="n"/>
      <c r="Q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11" t="n"/>
      <c r="L423" s="11" t="n"/>
      <c r="M423" s="11" t="n"/>
      <c r="N423" s="11" t="n"/>
      <c r="O423" s="12" t="n"/>
      <c r="P423" s="11" t="n"/>
      <c r="Q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11" t="n"/>
      <c r="L424" s="11" t="n"/>
      <c r="M424" s="11" t="n"/>
      <c r="N424" s="11" t="n"/>
      <c r="O424" s="12" t="n"/>
      <c r="P424" s="11" t="n"/>
      <c r="Q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11" t="n"/>
      <c r="L425" s="11" t="n"/>
      <c r="M425" s="11" t="n"/>
      <c r="N425" s="11" t="n"/>
      <c r="O425" s="12" t="n"/>
      <c r="P425" s="11" t="n"/>
      <c r="Q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11" t="n"/>
      <c r="L426" s="11" t="n"/>
      <c r="M426" s="11" t="n"/>
      <c r="N426" s="11" t="n"/>
      <c r="O426" s="12" t="n"/>
      <c r="P426" s="11" t="n"/>
      <c r="Q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11" t="n"/>
      <c r="L427" s="11" t="n"/>
      <c r="M427" s="11" t="n"/>
      <c r="N427" s="11" t="n"/>
      <c r="O427" s="12" t="n"/>
      <c r="P427" s="11" t="n"/>
      <c r="Q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11" t="n"/>
      <c r="L428" s="11" t="n"/>
      <c r="M428" s="11" t="n"/>
      <c r="N428" s="11" t="n"/>
      <c r="O428" s="12" t="n"/>
      <c r="P428" s="11" t="n"/>
      <c r="Q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11" t="n"/>
      <c r="L429" s="11" t="n"/>
      <c r="M429" s="11" t="n"/>
      <c r="N429" s="11" t="n"/>
      <c r="O429" s="12" t="n"/>
      <c r="P429" s="11" t="n"/>
      <c r="Q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11" t="n"/>
      <c r="L430" s="11" t="n"/>
      <c r="M430" s="11" t="n"/>
      <c r="N430" s="11" t="n"/>
      <c r="O430" s="12" t="n"/>
      <c r="P430" s="11" t="n"/>
      <c r="Q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11" t="n"/>
      <c r="L431" s="11" t="n"/>
      <c r="M431" s="11" t="n"/>
      <c r="N431" s="11" t="n"/>
      <c r="O431" s="12" t="n"/>
      <c r="P431" s="11" t="n"/>
      <c r="Q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11" t="n"/>
      <c r="L432" s="11" t="n"/>
      <c r="M432" s="11" t="n"/>
      <c r="N432" s="11" t="n"/>
      <c r="O432" s="12" t="n"/>
      <c r="P432" s="11" t="n"/>
      <c r="Q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11" t="n"/>
      <c r="L433" s="11" t="n"/>
      <c r="M433" s="11" t="n"/>
      <c r="N433" s="11" t="n"/>
      <c r="O433" s="12" t="n"/>
      <c r="P433" s="11" t="n"/>
      <c r="Q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11" t="n"/>
      <c r="L434" s="11" t="n"/>
      <c r="M434" s="11" t="n"/>
      <c r="N434" s="11" t="n"/>
      <c r="O434" s="12" t="n"/>
      <c r="P434" s="11" t="n"/>
      <c r="Q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11" t="n"/>
      <c r="L435" s="11" t="n"/>
      <c r="M435" s="11" t="n"/>
      <c r="N435" s="11" t="n"/>
      <c r="O435" s="12" t="n"/>
      <c r="P435" s="11" t="n"/>
      <c r="Q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11" t="n"/>
      <c r="L436" s="11" t="n"/>
      <c r="M436" s="11" t="n"/>
      <c r="N436" s="11" t="n"/>
      <c r="O436" s="12" t="n"/>
      <c r="P436" s="11" t="n"/>
      <c r="Q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11" t="n"/>
      <c r="L437" s="11" t="n"/>
      <c r="M437" s="11" t="n"/>
      <c r="N437" s="11" t="n"/>
      <c r="O437" s="12" t="n"/>
      <c r="P437" s="11" t="n"/>
      <c r="Q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11" t="n"/>
      <c r="L438" s="11" t="n"/>
      <c r="M438" s="11" t="n"/>
      <c r="N438" s="11" t="n"/>
      <c r="O438" s="12" t="n"/>
      <c r="P438" s="11" t="n"/>
      <c r="Q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11" t="n"/>
      <c r="L439" s="11" t="n"/>
      <c r="M439" s="11" t="n"/>
      <c r="N439" s="11" t="n"/>
      <c r="O439" s="12" t="n"/>
      <c r="P439" s="11" t="n"/>
      <c r="Q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11" t="n"/>
      <c r="L440" s="11" t="n"/>
      <c r="M440" s="11" t="n"/>
      <c r="N440" s="11" t="n"/>
      <c r="O440" s="12" t="n"/>
      <c r="P440" s="11" t="n"/>
      <c r="Q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11" t="n"/>
      <c r="L441" s="11" t="n"/>
      <c r="M441" s="11" t="n"/>
      <c r="N441" s="11" t="n"/>
      <c r="O441" s="12" t="n"/>
      <c r="P441" s="11" t="n"/>
      <c r="Q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11" t="n"/>
      <c r="L442" s="11" t="n"/>
      <c r="M442" s="11" t="n"/>
      <c r="N442" s="11" t="n"/>
      <c r="O442" s="12" t="n"/>
      <c r="P442" s="11" t="n"/>
      <c r="Q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11" t="n"/>
      <c r="L443" s="11" t="n"/>
      <c r="M443" s="11" t="n"/>
      <c r="N443" s="11" t="n"/>
      <c r="O443" s="12" t="n"/>
      <c r="P443" s="11" t="n"/>
      <c r="Q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11" t="n"/>
      <c r="L444" s="11" t="n"/>
      <c r="M444" s="11" t="n"/>
      <c r="N444" s="11" t="n"/>
      <c r="O444" s="12" t="n"/>
      <c r="P444" s="11" t="n"/>
      <c r="Q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11" t="n"/>
      <c r="L445" s="11" t="n"/>
      <c r="M445" s="11" t="n"/>
      <c r="N445" s="11" t="n"/>
      <c r="O445" s="12" t="n"/>
      <c r="P445" s="11" t="n"/>
      <c r="Q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11" t="n"/>
      <c r="L446" s="11" t="n"/>
      <c r="M446" s="11" t="n"/>
      <c r="N446" s="11" t="n"/>
      <c r="O446" s="12" t="n"/>
      <c r="P446" s="11" t="n"/>
      <c r="Q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11" t="n"/>
      <c r="L447" s="11" t="n"/>
      <c r="M447" s="11" t="n"/>
      <c r="N447" s="11" t="n"/>
      <c r="O447" s="12" t="n"/>
      <c r="P447" s="11" t="n"/>
      <c r="Q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11" t="n"/>
      <c r="L448" s="11" t="n"/>
      <c r="M448" s="11" t="n"/>
      <c r="N448" s="11" t="n"/>
      <c r="O448" s="12" t="n"/>
      <c r="P448" s="11" t="n"/>
      <c r="Q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11" t="n"/>
      <c r="L449" s="11" t="n"/>
      <c r="M449" s="11" t="n"/>
      <c r="N449" s="11" t="n"/>
      <c r="O449" s="12" t="n"/>
      <c r="P449" s="11" t="n"/>
      <c r="Q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11" t="n"/>
      <c r="L450" s="11" t="n"/>
      <c r="M450" s="11" t="n"/>
      <c r="N450" s="11" t="n"/>
      <c r="O450" s="12" t="n"/>
      <c r="P450" s="11" t="n"/>
      <c r="Q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11" t="n"/>
      <c r="L451" s="11" t="n"/>
      <c r="M451" s="11" t="n"/>
      <c r="N451" s="11" t="n"/>
      <c r="O451" s="12" t="n"/>
      <c r="P451" s="11" t="n"/>
      <c r="Q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11" t="n"/>
      <c r="L452" s="11" t="n"/>
      <c r="M452" s="11" t="n"/>
      <c r="N452" s="11" t="n"/>
      <c r="O452" s="12" t="n"/>
      <c r="P452" s="11" t="n"/>
      <c r="Q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11" t="n"/>
      <c r="L453" s="11" t="n"/>
      <c r="M453" s="11" t="n"/>
      <c r="N453" s="11" t="n"/>
      <c r="O453" s="12" t="n"/>
      <c r="P453" s="11" t="n"/>
      <c r="Q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11" t="n"/>
      <c r="L454" s="11" t="n"/>
      <c r="M454" s="11" t="n"/>
      <c r="N454" s="11" t="n"/>
      <c r="O454" s="12" t="n"/>
      <c r="P454" s="11" t="n"/>
      <c r="Q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11" t="n"/>
      <c r="L455" s="11" t="n"/>
      <c r="M455" s="11" t="n"/>
      <c r="N455" s="11" t="n"/>
      <c r="O455" s="12" t="n"/>
      <c r="P455" s="11" t="n"/>
      <c r="Q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11" t="n"/>
      <c r="L456" s="11" t="n"/>
      <c r="M456" s="11" t="n"/>
      <c r="N456" s="11" t="n"/>
      <c r="O456" s="12" t="n"/>
      <c r="P456" s="11" t="n"/>
      <c r="Q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11" t="n"/>
      <c r="L457" s="11" t="n"/>
      <c r="M457" s="11" t="n"/>
      <c r="N457" s="11" t="n"/>
      <c r="O457" s="12" t="n"/>
      <c r="P457" s="11" t="n"/>
      <c r="Q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11" t="n"/>
      <c r="L458" s="11" t="n"/>
      <c r="M458" s="11" t="n"/>
      <c r="N458" s="11" t="n"/>
      <c r="O458" s="12" t="n"/>
      <c r="P458" s="11" t="n"/>
      <c r="Q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11" t="n"/>
      <c r="L459" s="11" t="n"/>
      <c r="M459" s="11" t="n"/>
      <c r="N459" s="11" t="n"/>
      <c r="O459" s="12" t="n"/>
      <c r="P459" s="11" t="n"/>
      <c r="Q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11" t="n"/>
      <c r="L460" s="11" t="n"/>
      <c r="M460" s="11" t="n"/>
      <c r="N460" s="11" t="n"/>
      <c r="O460" s="12" t="n"/>
      <c r="P460" s="11" t="n"/>
      <c r="Q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11" t="n"/>
      <c r="L461" s="11" t="n"/>
      <c r="M461" s="11" t="n"/>
      <c r="N461" s="11" t="n"/>
      <c r="O461" s="12" t="n"/>
      <c r="P461" s="11" t="n"/>
      <c r="Q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11" t="n"/>
      <c r="L462" s="11" t="n"/>
      <c r="M462" s="11" t="n"/>
      <c r="N462" s="11" t="n"/>
      <c r="O462" s="12" t="n"/>
      <c r="P462" s="11" t="n"/>
      <c r="Q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11" t="n"/>
      <c r="L463" s="11" t="n"/>
      <c r="M463" s="11" t="n"/>
      <c r="N463" s="11" t="n"/>
      <c r="O463" s="12" t="n"/>
      <c r="P463" s="11" t="n"/>
      <c r="Q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11" t="n"/>
      <c r="L464" s="11" t="n"/>
      <c r="M464" s="11" t="n"/>
      <c r="N464" s="11" t="n"/>
      <c r="O464" s="12" t="n"/>
      <c r="P464" s="11" t="n"/>
      <c r="Q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11" t="n"/>
      <c r="L465" s="11" t="n"/>
      <c r="M465" s="11" t="n"/>
      <c r="N465" s="11" t="n"/>
      <c r="O465" s="12" t="n"/>
      <c r="P465" s="11" t="n"/>
      <c r="Q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11" t="n"/>
      <c r="L466" s="11" t="n"/>
      <c r="M466" s="11" t="n"/>
      <c r="N466" s="11" t="n"/>
      <c r="O466" s="12" t="n"/>
      <c r="P466" s="11" t="n"/>
      <c r="Q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11" t="n"/>
      <c r="L467" s="11" t="n"/>
      <c r="M467" s="11" t="n"/>
      <c r="N467" s="11" t="n"/>
      <c r="O467" s="12" t="n"/>
      <c r="P467" s="11" t="n"/>
      <c r="Q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11" t="n"/>
      <c r="L468" s="11" t="n"/>
      <c r="M468" s="11" t="n"/>
      <c r="N468" s="11" t="n"/>
      <c r="O468" s="12" t="n"/>
      <c r="P468" s="11" t="n"/>
      <c r="Q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11" t="n"/>
      <c r="L469" s="11" t="n"/>
      <c r="M469" s="11" t="n"/>
      <c r="N469" s="11" t="n"/>
      <c r="O469" s="12" t="n"/>
      <c r="P469" s="11" t="n"/>
      <c r="Q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11" t="n"/>
      <c r="L470" s="11" t="n"/>
      <c r="M470" s="11" t="n"/>
      <c r="N470" s="11" t="n"/>
      <c r="O470" s="12" t="n"/>
      <c r="P470" s="11" t="n"/>
      <c r="Q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11" t="n"/>
      <c r="L471" s="11" t="n"/>
      <c r="M471" s="11" t="n"/>
      <c r="N471" s="11" t="n"/>
      <c r="O471" s="12" t="n"/>
      <c r="P471" s="11" t="n"/>
      <c r="Q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11" t="n"/>
      <c r="L472" s="11" t="n"/>
      <c r="M472" s="11" t="n"/>
      <c r="N472" s="11" t="n"/>
      <c r="O472" s="12" t="n"/>
      <c r="P472" s="11" t="n"/>
      <c r="Q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11" t="n"/>
      <c r="L473" s="11" t="n"/>
      <c r="M473" s="11" t="n"/>
      <c r="N473" s="11" t="n"/>
      <c r="O473" s="12" t="n"/>
      <c r="P473" s="11" t="n"/>
      <c r="Q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11" t="n"/>
      <c r="L474" s="11" t="n"/>
      <c r="M474" s="11" t="n"/>
      <c r="N474" s="11" t="n"/>
      <c r="O474" s="12" t="n"/>
      <c r="P474" s="11" t="n"/>
      <c r="Q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11" t="n"/>
      <c r="L475" s="11" t="n"/>
      <c r="M475" s="11" t="n"/>
      <c r="N475" s="11" t="n"/>
      <c r="O475" s="12" t="n"/>
      <c r="P475" s="11" t="n"/>
      <c r="Q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11" t="n"/>
      <c r="L476" s="11" t="n"/>
      <c r="M476" s="11" t="n"/>
      <c r="N476" s="11" t="n"/>
      <c r="O476" s="12" t="n"/>
      <c r="P476" s="11" t="n"/>
      <c r="Q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11" t="n"/>
      <c r="L477" s="11" t="n"/>
      <c r="M477" s="11" t="n"/>
      <c r="N477" s="11" t="n"/>
      <c r="O477" s="12" t="n"/>
      <c r="P477" s="11" t="n"/>
      <c r="Q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11" t="n"/>
      <c r="L478" s="11" t="n"/>
      <c r="M478" s="11" t="n"/>
      <c r="N478" s="11" t="n"/>
      <c r="O478" s="12" t="n"/>
      <c r="P478" s="11" t="n"/>
      <c r="Q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11" t="n"/>
      <c r="L479" s="11" t="n"/>
      <c r="M479" s="11" t="n"/>
      <c r="N479" s="11" t="n"/>
      <c r="O479" s="12" t="n"/>
      <c r="P479" s="11" t="n"/>
      <c r="Q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11" t="n"/>
      <c r="L480" s="11" t="n"/>
      <c r="M480" s="11" t="n"/>
      <c r="N480" s="11" t="n"/>
      <c r="O480" s="12" t="n"/>
      <c r="P480" s="11" t="n"/>
      <c r="Q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11" t="n"/>
      <c r="L481" s="11" t="n"/>
      <c r="M481" s="11" t="n"/>
      <c r="N481" s="11" t="n"/>
      <c r="O481" s="12" t="n"/>
      <c r="P481" s="11" t="n"/>
      <c r="Q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11" t="n"/>
      <c r="L482" s="11" t="n"/>
      <c r="M482" s="11" t="n"/>
      <c r="N482" s="11" t="n"/>
      <c r="O482" s="12" t="n"/>
      <c r="P482" s="11" t="n"/>
      <c r="Q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11" t="n"/>
      <c r="L483" s="11" t="n"/>
      <c r="M483" s="11" t="n"/>
      <c r="N483" s="11" t="n"/>
      <c r="O483" s="12" t="n"/>
      <c r="P483" s="11" t="n"/>
      <c r="Q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11" t="n"/>
      <c r="L484" s="11" t="n"/>
      <c r="M484" s="11" t="n"/>
      <c r="N484" s="11" t="n"/>
      <c r="O484" s="12" t="n"/>
      <c r="P484" s="11" t="n"/>
      <c r="Q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11" t="n"/>
      <c r="L485" s="11" t="n"/>
      <c r="M485" s="11" t="n"/>
      <c r="N485" s="11" t="n"/>
      <c r="O485" s="12" t="n"/>
      <c r="P485" s="11" t="n"/>
      <c r="Q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11" t="n"/>
      <c r="L486" s="11" t="n"/>
      <c r="M486" s="11" t="n"/>
      <c r="N486" s="11" t="n"/>
      <c r="O486" s="12" t="n"/>
      <c r="P486" s="11" t="n"/>
      <c r="Q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11" t="n"/>
      <c r="L487" s="11" t="n"/>
      <c r="M487" s="11" t="n"/>
      <c r="N487" s="11" t="n"/>
      <c r="O487" s="12" t="n"/>
      <c r="P487" s="11" t="n"/>
      <c r="Q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11" t="n"/>
      <c r="L488" s="11" t="n"/>
      <c r="M488" s="11" t="n"/>
      <c r="N488" s="11" t="n"/>
      <c r="O488" s="12" t="n"/>
      <c r="P488" s="11" t="n"/>
      <c r="Q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11" t="n"/>
      <c r="L489" s="11" t="n"/>
      <c r="M489" s="11" t="n"/>
      <c r="N489" s="11" t="n"/>
      <c r="O489" s="12" t="n"/>
      <c r="P489" s="11" t="n"/>
      <c r="Q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11" t="n"/>
      <c r="L490" s="11" t="n"/>
      <c r="M490" s="11" t="n"/>
      <c r="N490" s="11" t="n"/>
      <c r="O490" s="12" t="n"/>
      <c r="P490" s="11" t="n"/>
      <c r="Q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11" t="n"/>
      <c r="L491" s="11" t="n"/>
      <c r="M491" s="11" t="n"/>
      <c r="N491" s="11" t="n"/>
      <c r="O491" s="12" t="n"/>
      <c r="P491" s="11" t="n"/>
      <c r="Q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11" t="n"/>
      <c r="L492" s="11" t="n"/>
      <c r="M492" s="11" t="n"/>
      <c r="N492" s="11" t="n"/>
      <c r="O492" s="12" t="n"/>
      <c r="P492" s="11" t="n"/>
      <c r="Q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11" t="n"/>
      <c r="L493" s="11" t="n"/>
      <c r="M493" s="11" t="n"/>
      <c r="N493" s="11" t="n"/>
      <c r="O493" s="12" t="n"/>
      <c r="P493" s="11" t="n"/>
      <c r="Q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11" t="n"/>
      <c r="L494" s="11" t="n"/>
      <c r="M494" s="11" t="n"/>
      <c r="N494" s="11" t="n"/>
      <c r="O494" s="12" t="n"/>
      <c r="P494" s="11" t="n"/>
      <c r="Q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11" t="n"/>
      <c r="L495" s="11" t="n"/>
      <c r="M495" s="11" t="n"/>
      <c r="N495" s="11" t="n"/>
      <c r="O495" s="12" t="n"/>
      <c r="P495" s="11" t="n"/>
      <c r="Q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11" t="n"/>
      <c r="L496" s="11" t="n"/>
      <c r="M496" s="11" t="n"/>
      <c r="N496" s="11" t="n"/>
      <c r="O496" s="12" t="n"/>
      <c r="P496" s="11" t="n"/>
      <c r="Q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11" t="n"/>
      <c r="L497" s="11" t="n"/>
      <c r="M497" s="11" t="n"/>
      <c r="N497" s="11" t="n"/>
      <c r="O497" s="12" t="n"/>
      <c r="P497" s="11" t="n"/>
      <c r="Q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11" t="n"/>
      <c r="L498" s="11" t="n"/>
      <c r="M498" s="11" t="n"/>
      <c r="N498" s="11" t="n"/>
      <c r="O498" s="12" t="n"/>
      <c r="P498" s="11" t="n"/>
      <c r="Q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11" t="n"/>
      <c r="L499" s="11" t="n"/>
      <c r="M499" s="11" t="n"/>
      <c r="N499" s="11" t="n"/>
      <c r="O499" s="12" t="n"/>
      <c r="P499" s="11" t="n"/>
      <c r="Q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11" t="n"/>
      <c r="L500" s="11" t="n"/>
      <c r="M500" s="11" t="n"/>
      <c r="N500" s="11" t="n"/>
      <c r="O500" s="12" t="n"/>
      <c r="P500" s="11" t="n"/>
      <c r="Q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11" t="n"/>
      <c r="L501" s="11" t="n"/>
      <c r="M501" s="11" t="n"/>
      <c r="N501" s="11" t="n"/>
      <c r="O501" s="12" t="n"/>
      <c r="P501" s="11" t="n"/>
      <c r="Q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11" t="n"/>
      <c r="L502" s="11" t="n"/>
      <c r="M502" s="11" t="n"/>
      <c r="N502" s="11" t="n"/>
      <c r="O502" s="12" t="n"/>
      <c r="P502" s="11" t="n"/>
      <c r="Q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11" t="n"/>
      <c r="L503" s="11" t="n"/>
      <c r="M503" s="11" t="n"/>
      <c r="N503" s="11" t="n"/>
      <c r="O503" s="12" t="n"/>
      <c r="P503" s="11" t="n"/>
      <c r="Q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11" t="n"/>
      <c r="L504" s="11" t="n"/>
      <c r="M504" s="11" t="n"/>
      <c r="N504" s="11" t="n"/>
      <c r="O504" s="12" t="n"/>
      <c r="P504" s="11" t="n"/>
      <c r="Q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11" t="n"/>
      <c r="L505" s="11" t="n"/>
      <c r="M505" s="11" t="n"/>
      <c r="N505" s="11" t="n"/>
      <c r="O505" s="12" t="n"/>
      <c r="P505" s="11" t="n"/>
      <c r="Q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11" t="n"/>
      <c r="L506" s="11" t="n"/>
      <c r="M506" s="11" t="n"/>
      <c r="N506" s="11" t="n"/>
      <c r="O506" s="12" t="n"/>
      <c r="P506" s="11" t="n"/>
      <c r="Q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11" t="n"/>
      <c r="L507" s="11" t="n"/>
      <c r="M507" s="11" t="n"/>
      <c r="N507" s="11" t="n"/>
      <c r="O507" s="12" t="n"/>
      <c r="P507" s="11" t="n"/>
      <c r="Q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11" t="n"/>
      <c r="L508" s="11" t="n"/>
      <c r="M508" s="11" t="n"/>
      <c r="N508" s="11" t="n"/>
      <c r="O508" s="12" t="n"/>
      <c r="P508" s="11" t="n"/>
      <c r="Q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11" t="n"/>
      <c r="L509" s="11" t="n"/>
      <c r="M509" s="11" t="n"/>
      <c r="N509" s="11" t="n"/>
      <c r="O509" s="12" t="n"/>
      <c r="P509" s="11" t="n"/>
      <c r="Q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11" t="n"/>
      <c r="L510" s="11" t="n"/>
      <c r="M510" s="11" t="n"/>
      <c r="N510" s="11" t="n"/>
      <c r="O510" s="12" t="n"/>
      <c r="P510" s="11" t="n"/>
      <c r="Q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11" t="n"/>
      <c r="L511" s="11" t="n"/>
      <c r="M511" s="11" t="n"/>
      <c r="N511" s="11" t="n"/>
      <c r="O511" s="12" t="n"/>
      <c r="P511" s="11" t="n"/>
      <c r="Q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11" t="n"/>
      <c r="L512" s="11" t="n"/>
      <c r="M512" s="11" t="n"/>
      <c r="N512" s="11" t="n"/>
      <c r="O512" s="12" t="n"/>
      <c r="P512" s="11" t="n"/>
      <c r="Q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11" t="n"/>
      <c r="L513" s="11" t="n"/>
      <c r="M513" s="11" t="n"/>
      <c r="N513" s="11" t="n"/>
      <c r="O513" s="12" t="n"/>
      <c r="P513" s="11" t="n"/>
      <c r="Q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11" t="n"/>
      <c r="L514" s="11" t="n"/>
      <c r="M514" s="11" t="n"/>
      <c r="N514" s="11" t="n"/>
      <c r="O514" s="12" t="n"/>
      <c r="P514" s="11" t="n"/>
      <c r="Q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11" t="n"/>
      <c r="L515" s="11" t="n"/>
      <c r="M515" s="11" t="n"/>
      <c r="N515" s="11" t="n"/>
      <c r="O515" s="12" t="n"/>
      <c r="P515" s="11" t="n"/>
      <c r="Q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11" t="n"/>
      <c r="L516" s="11" t="n"/>
      <c r="M516" s="11" t="n"/>
      <c r="N516" s="11" t="n"/>
      <c r="O516" s="12" t="n"/>
      <c r="P516" s="11" t="n"/>
      <c r="Q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11" t="n"/>
      <c r="L517" s="11" t="n"/>
      <c r="M517" s="11" t="n"/>
      <c r="N517" s="11" t="n"/>
      <c r="O517" s="12" t="n"/>
      <c r="P517" s="11" t="n"/>
      <c r="Q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11" t="n"/>
      <c r="L518" s="11" t="n"/>
      <c r="M518" s="11" t="n"/>
      <c r="N518" s="11" t="n"/>
      <c r="O518" s="12" t="n"/>
      <c r="P518" s="11" t="n"/>
      <c r="Q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11" t="n"/>
      <c r="L519" s="11" t="n"/>
      <c r="M519" s="11" t="n"/>
      <c r="N519" s="11" t="n"/>
      <c r="O519" s="12" t="n"/>
      <c r="P519" s="11" t="n"/>
      <c r="Q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11" t="n"/>
      <c r="L520" s="11" t="n"/>
      <c r="M520" s="11" t="n"/>
      <c r="N520" s="11" t="n"/>
      <c r="O520" s="12" t="n"/>
      <c r="P520" s="11" t="n"/>
      <c r="Q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11" t="n"/>
      <c r="L521" s="11" t="n"/>
      <c r="M521" s="11" t="n"/>
      <c r="N521" s="11" t="n"/>
      <c r="O521" s="12" t="n"/>
      <c r="P521" s="11" t="n"/>
      <c r="Q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11" t="n"/>
      <c r="L522" s="11" t="n"/>
      <c r="M522" s="11" t="n"/>
      <c r="N522" s="11" t="n"/>
      <c r="O522" s="12" t="n"/>
      <c r="P522" s="11" t="n"/>
      <c r="Q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11" t="n"/>
      <c r="L523" s="11" t="n"/>
      <c r="M523" s="11" t="n"/>
      <c r="N523" s="11" t="n"/>
      <c r="O523" s="12" t="n"/>
      <c r="P523" s="11" t="n"/>
      <c r="Q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11" t="n"/>
      <c r="L524" s="11" t="n"/>
      <c r="M524" s="11" t="n"/>
      <c r="N524" s="11" t="n"/>
      <c r="O524" s="12" t="n"/>
      <c r="P524" s="11" t="n"/>
      <c r="Q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11" t="n"/>
      <c r="L525" s="11" t="n"/>
      <c r="M525" s="11" t="n"/>
      <c r="N525" s="11" t="n"/>
      <c r="O525" s="12" t="n"/>
      <c r="P525" s="11" t="n"/>
      <c r="Q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11" t="n"/>
      <c r="L526" s="11" t="n"/>
      <c r="M526" s="11" t="n"/>
      <c r="N526" s="11" t="n"/>
      <c r="O526" s="12" t="n"/>
      <c r="P526" s="11" t="n"/>
      <c r="Q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11" t="n"/>
      <c r="L527" s="11" t="n"/>
      <c r="M527" s="11" t="n"/>
      <c r="N527" s="11" t="n"/>
      <c r="O527" s="12" t="n"/>
      <c r="P527" s="11" t="n"/>
      <c r="Q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11" t="n"/>
      <c r="L528" s="11" t="n"/>
      <c r="M528" s="11" t="n"/>
      <c r="N528" s="11" t="n"/>
      <c r="O528" s="12" t="n"/>
      <c r="P528" s="11" t="n"/>
      <c r="Q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11" t="n"/>
      <c r="L529" s="11" t="n"/>
      <c r="M529" s="11" t="n"/>
      <c r="N529" s="11" t="n"/>
      <c r="O529" s="12" t="n"/>
      <c r="P529" s="11" t="n"/>
      <c r="Q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11" t="n"/>
      <c r="L530" s="11" t="n"/>
      <c r="M530" s="11" t="n"/>
      <c r="N530" s="11" t="n"/>
      <c r="O530" s="12" t="n"/>
      <c r="P530" s="11" t="n"/>
      <c r="Q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11" t="n"/>
      <c r="L531" s="11" t="n"/>
      <c r="M531" s="11" t="n"/>
      <c r="N531" s="11" t="n"/>
      <c r="O531" s="12" t="n"/>
      <c r="P531" s="11" t="n"/>
      <c r="Q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11" t="n"/>
      <c r="L532" s="11" t="n"/>
      <c r="M532" s="11" t="n"/>
      <c r="N532" s="11" t="n"/>
      <c r="O532" s="12" t="n"/>
      <c r="P532" s="11" t="n"/>
      <c r="Q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11" t="n"/>
      <c r="L533" s="11" t="n"/>
      <c r="M533" s="11" t="n"/>
      <c r="N533" s="11" t="n"/>
      <c r="O533" s="12" t="n"/>
      <c r="P533" s="11" t="n"/>
      <c r="Q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11" t="n"/>
      <c r="L534" s="11" t="n"/>
      <c r="M534" s="11" t="n"/>
      <c r="N534" s="11" t="n"/>
      <c r="O534" s="12" t="n"/>
      <c r="P534" s="11" t="n"/>
      <c r="Q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11" t="n"/>
      <c r="L535" s="11" t="n"/>
      <c r="M535" s="11" t="n"/>
      <c r="N535" s="11" t="n"/>
      <c r="O535" s="12" t="n"/>
      <c r="P535" s="11" t="n"/>
      <c r="Q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11" t="n"/>
      <c r="L536" s="11" t="n"/>
      <c r="M536" s="11" t="n"/>
      <c r="N536" s="11" t="n"/>
      <c r="O536" s="12" t="n"/>
      <c r="P536" s="11" t="n"/>
      <c r="Q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11" t="n"/>
      <c r="L537" s="11" t="n"/>
      <c r="M537" s="11" t="n"/>
      <c r="N537" s="11" t="n"/>
      <c r="O537" s="12" t="n"/>
      <c r="P537" s="11" t="n"/>
      <c r="Q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11" t="n"/>
      <c r="L538" s="11" t="n"/>
      <c r="M538" s="11" t="n"/>
      <c r="N538" s="11" t="n"/>
      <c r="O538" s="12" t="n"/>
      <c r="P538" s="11" t="n"/>
      <c r="Q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11" t="n"/>
      <c r="L539" s="11" t="n"/>
      <c r="M539" s="11" t="n"/>
      <c r="N539" s="11" t="n"/>
      <c r="O539" s="12" t="n"/>
      <c r="P539" s="11" t="n"/>
      <c r="Q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11" t="n"/>
      <c r="L540" s="11" t="n"/>
      <c r="M540" s="11" t="n"/>
      <c r="N540" s="11" t="n"/>
      <c r="O540" s="12" t="n"/>
      <c r="P540" s="11" t="n"/>
      <c r="Q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11" t="n"/>
      <c r="L541" s="11" t="n"/>
      <c r="M541" s="11" t="n"/>
      <c r="N541" s="11" t="n"/>
      <c r="O541" s="12" t="n"/>
      <c r="P541" s="11" t="n"/>
      <c r="Q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11" t="n"/>
      <c r="L542" s="11" t="n"/>
      <c r="M542" s="11" t="n"/>
      <c r="N542" s="11" t="n"/>
      <c r="O542" s="12" t="n"/>
      <c r="P542" s="11" t="n"/>
      <c r="Q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11" t="n"/>
      <c r="L543" s="11" t="n"/>
      <c r="M543" s="11" t="n"/>
      <c r="N543" s="11" t="n"/>
      <c r="O543" s="12" t="n"/>
      <c r="P543" s="11" t="n"/>
      <c r="Q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11" t="n"/>
      <c r="L544" s="11" t="n"/>
      <c r="M544" s="11" t="n"/>
      <c r="N544" s="11" t="n"/>
      <c r="O544" s="12" t="n"/>
      <c r="P544" s="11" t="n"/>
      <c r="Q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11" t="n"/>
      <c r="L545" s="11" t="n"/>
      <c r="M545" s="11" t="n"/>
      <c r="N545" s="11" t="n"/>
      <c r="O545" s="12" t="n"/>
      <c r="P545" s="11" t="n"/>
      <c r="Q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11" t="n"/>
      <c r="L546" s="11" t="n"/>
      <c r="M546" s="11" t="n"/>
      <c r="N546" s="11" t="n"/>
      <c r="O546" s="12" t="n"/>
      <c r="P546" s="11" t="n"/>
      <c r="Q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11" t="n"/>
      <c r="L547" s="11" t="n"/>
      <c r="M547" s="11" t="n"/>
      <c r="N547" s="11" t="n"/>
      <c r="O547" s="12" t="n"/>
      <c r="P547" s="11" t="n"/>
      <c r="Q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11" t="n"/>
      <c r="L548" s="11" t="n"/>
      <c r="M548" s="11" t="n"/>
      <c r="N548" s="11" t="n"/>
      <c r="O548" s="12" t="n"/>
      <c r="P548" s="11" t="n"/>
      <c r="Q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11" t="n"/>
      <c r="L549" s="11" t="n"/>
      <c r="M549" s="11" t="n"/>
      <c r="N549" s="11" t="n"/>
      <c r="O549" s="12" t="n"/>
      <c r="P549" s="11" t="n"/>
      <c r="Q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11" t="n"/>
      <c r="L550" s="11" t="n"/>
      <c r="M550" s="11" t="n"/>
      <c r="N550" s="11" t="n"/>
      <c r="O550" s="12" t="n"/>
      <c r="P550" s="11" t="n"/>
      <c r="Q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11" t="n"/>
      <c r="L551" s="11" t="n"/>
      <c r="M551" s="11" t="n"/>
      <c r="N551" s="11" t="n"/>
      <c r="O551" s="12" t="n"/>
      <c r="P551" s="11" t="n"/>
      <c r="Q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11" t="n"/>
      <c r="L552" s="11" t="n"/>
      <c r="M552" s="11" t="n"/>
      <c r="N552" s="11" t="n"/>
      <c r="O552" s="12" t="n"/>
      <c r="P552" s="11" t="n"/>
      <c r="Q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11" t="n"/>
      <c r="L553" s="11" t="n"/>
      <c r="M553" s="11" t="n"/>
      <c r="N553" s="11" t="n"/>
      <c r="O553" s="12" t="n"/>
      <c r="P553" s="11" t="n"/>
      <c r="Q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11" t="n"/>
      <c r="L554" s="11" t="n"/>
      <c r="M554" s="11" t="n"/>
      <c r="N554" s="11" t="n"/>
      <c r="O554" s="12" t="n"/>
      <c r="P554" s="11" t="n"/>
      <c r="Q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11" t="n"/>
      <c r="L555" s="11" t="n"/>
      <c r="M555" s="11" t="n"/>
      <c r="N555" s="11" t="n"/>
      <c r="O555" s="12" t="n"/>
      <c r="P555" s="11" t="n"/>
      <c r="Q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11" t="n"/>
      <c r="L556" s="11" t="n"/>
      <c r="M556" s="11" t="n"/>
      <c r="N556" s="11" t="n"/>
      <c r="O556" s="12" t="n"/>
      <c r="P556" s="11" t="n"/>
      <c r="Q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11" t="n"/>
      <c r="L557" s="11" t="n"/>
      <c r="M557" s="11" t="n"/>
      <c r="N557" s="11" t="n"/>
      <c r="O557" s="12" t="n"/>
      <c r="P557" s="11" t="n"/>
      <c r="Q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11" t="n"/>
      <c r="L558" s="11" t="n"/>
      <c r="M558" s="11" t="n"/>
      <c r="N558" s="11" t="n"/>
      <c r="O558" s="12" t="n"/>
      <c r="P558" s="11" t="n"/>
      <c r="Q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11" t="n"/>
      <c r="L559" s="11" t="n"/>
      <c r="M559" s="11" t="n"/>
      <c r="N559" s="11" t="n"/>
      <c r="O559" s="12" t="n"/>
      <c r="P559" s="11" t="n"/>
      <c r="Q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11" t="n"/>
      <c r="L560" s="11" t="n"/>
      <c r="M560" s="11" t="n"/>
      <c r="N560" s="11" t="n"/>
      <c r="O560" s="12" t="n"/>
      <c r="P560" s="11" t="n"/>
      <c r="Q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11" t="n"/>
      <c r="L561" s="11" t="n"/>
      <c r="M561" s="11" t="n"/>
      <c r="N561" s="11" t="n"/>
      <c r="O561" s="12" t="n"/>
      <c r="P561" s="11" t="n"/>
      <c r="Q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11" t="n"/>
      <c r="L562" s="11" t="n"/>
      <c r="M562" s="11" t="n"/>
      <c r="N562" s="11" t="n"/>
      <c r="O562" s="12" t="n"/>
      <c r="P562" s="11" t="n"/>
      <c r="Q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11" t="n"/>
      <c r="L563" s="11" t="n"/>
      <c r="M563" s="11" t="n"/>
      <c r="N563" s="11" t="n"/>
      <c r="O563" s="12" t="n"/>
      <c r="P563" s="11" t="n"/>
      <c r="Q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11" t="n"/>
      <c r="L564" s="11" t="n"/>
      <c r="M564" s="11" t="n"/>
      <c r="N564" s="11" t="n"/>
      <c r="O564" s="12" t="n"/>
      <c r="P564" s="11" t="n"/>
      <c r="Q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11" t="n"/>
      <c r="L565" s="11" t="n"/>
      <c r="M565" s="11" t="n"/>
      <c r="N565" s="11" t="n"/>
      <c r="O565" s="12" t="n"/>
      <c r="P565" s="11" t="n"/>
      <c r="Q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11" t="n"/>
      <c r="L566" s="11" t="n"/>
      <c r="M566" s="11" t="n"/>
      <c r="N566" s="11" t="n"/>
      <c r="O566" s="12" t="n"/>
      <c r="P566" s="11" t="n"/>
      <c r="Q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11" t="n"/>
      <c r="L567" s="11" t="n"/>
      <c r="M567" s="11" t="n"/>
      <c r="N567" s="11" t="n"/>
      <c r="O567" s="12" t="n"/>
      <c r="P567" s="11" t="n"/>
      <c r="Q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11" t="n"/>
      <c r="L568" s="11" t="n"/>
      <c r="M568" s="11" t="n"/>
      <c r="N568" s="11" t="n"/>
      <c r="O568" s="12" t="n"/>
      <c r="P568" s="11" t="n"/>
      <c r="Q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11" t="n"/>
      <c r="L569" s="11" t="n"/>
      <c r="M569" s="11" t="n"/>
      <c r="N569" s="11" t="n"/>
      <c r="O569" s="12" t="n"/>
      <c r="P569" s="11" t="n"/>
      <c r="Q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11" t="n"/>
      <c r="L570" s="11" t="n"/>
      <c r="M570" s="11" t="n"/>
      <c r="N570" s="11" t="n"/>
      <c r="O570" s="12" t="n"/>
      <c r="P570" s="11" t="n"/>
      <c r="Q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11" t="n"/>
      <c r="L571" s="11" t="n"/>
      <c r="M571" s="11" t="n"/>
      <c r="N571" s="11" t="n"/>
      <c r="O571" s="12" t="n"/>
      <c r="P571" s="11" t="n"/>
      <c r="Q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11" t="n"/>
      <c r="L572" s="11" t="n"/>
      <c r="M572" s="11" t="n"/>
      <c r="N572" s="11" t="n"/>
      <c r="O572" s="12" t="n"/>
      <c r="P572" s="11" t="n"/>
      <c r="Q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11" t="n"/>
      <c r="L573" s="11" t="n"/>
      <c r="M573" s="11" t="n"/>
      <c r="N573" s="11" t="n"/>
      <c r="O573" s="12" t="n"/>
      <c r="P573" s="11" t="n"/>
      <c r="Q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11" t="n"/>
      <c r="L574" s="11" t="n"/>
      <c r="M574" s="11" t="n"/>
      <c r="N574" s="11" t="n"/>
      <c r="O574" s="12" t="n"/>
      <c r="P574" s="11" t="n"/>
      <c r="Q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11" t="n"/>
      <c r="L575" s="11" t="n"/>
      <c r="M575" s="11" t="n"/>
      <c r="N575" s="11" t="n"/>
      <c r="O575" s="12" t="n"/>
      <c r="P575" s="11" t="n"/>
      <c r="Q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11" t="n"/>
      <c r="L576" s="11" t="n"/>
      <c r="M576" s="11" t="n"/>
      <c r="N576" s="11" t="n"/>
      <c r="O576" s="12" t="n"/>
      <c r="P576" s="11" t="n"/>
      <c r="Q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11" t="n"/>
      <c r="L577" s="11" t="n"/>
      <c r="M577" s="11" t="n"/>
      <c r="N577" s="11" t="n"/>
      <c r="O577" s="12" t="n"/>
      <c r="P577" s="11" t="n"/>
      <c r="Q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11" t="n"/>
      <c r="L578" s="11" t="n"/>
      <c r="M578" s="11" t="n"/>
      <c r="N578" s="11" t="n"/>
      <c r="O578" s="12" t="n"/>
      <c r="P578" s="11" t="n"/>
      <c r="Q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11" t="n"/>
      <c r="L579" s="11" t="n"/>
      <c r="M579" s="11" t="n"/>
      <c r="N579" s="11" t="n"/>
      <c r="O579" s="12" t="n"/>
      <c r="P579" s="11" t="n"/>
      <c r="Q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11" t="n"/>
      <c r="L580" s="11" t="n"/>
      <c r="M580" s="11" t="n"/>
      <c r="N580" s="11" t="n"/>
      <c r="O580" s="12" t="n"/>
      <c r="P580" s="11" t="n"/>
      <c r="Q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11" t="n"/>
      <c r="L581" s="11" t="n"/>
      <c r="M581" s="11" t="n"/>
      <c r="N581" s="11" t="n"/>
      <c r="O581" s="12" t="n"/>
      <c r="P581" s="11" t="n"/>
      <c r="Q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11" t="n"/>
      <c r="L582" s="11" t="n"/>
      <c r="M582" s="11" t="n"/>
      <c r="N582" s="11" t="n"/>
      <c r="O582" s="12" t="n"/>
      <c r="P582" s="11" t="n"/>
      <c r="Q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11" t="n"/>
      <c r="L583" s="11" t="n"/>
      <c r="M583" s="11" t="n"/>
      <c r="N583" s="11" t="n"/>
      <c r="O583" s="12" t="n"/>
      <c r="P583" s="11" t="n"/>
      <c r="Q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11" t="n"/>
      <c r="L584" s="11" t="n"/>
      <c r="M584" s="11" t="n"/>
      <c r="N584" s="11" t="n"/>
      <c r="O584" s="12" t="n"/>
      <c r="P584" s="11" t="n"/>
      <c r="Q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11" t="n"/>
      <c r="L585" s="11" t="n"/>
      <c r="M585" s="11" t="n"/>
      <c r="N585" s="11" t="n"/>
      <c r="O585" s="12" t="n"/>
      <c r="P585" s="11" t="n"/>
      <c r="Q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11" t="n"/>
      <c r="L586" s="11" t="n"/>
      <c r="M586" s="11" t="n"/>
      <c r="N586" s="11" t="n"/>
      <c r="O586" s="12" t="n"/>
      <c r="P586" s="11" t="n"/>
      <c r="Q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11" t="n"/>
      <c r="L587" s="11" t="n"/>
      <c r="M587" s="11" t="n"/>
      <c r="N587" s="11" t="n"/>
      <c r="O587" s="12" t="n"/>
      <c r="P587" s="11" t="n"/>
      <c r="Q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11" t="n"/>
      <c r="L588" s="11" t="n"/>
      <c r="M588" s="11" t="n"/>
      <c r="N588" s="11" t="n"/>
      <c r="O588" s="12" t="n"/>
      <c r="P588" s="11" t="n"/>
      <c r="Q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11" t="n"/>
      <c r="L589" s="11" t="n"/>
      <c r="M589" s="11" t="n"/>
      <c r="N589" s="11" t="n"/>
      <c r="O589" s="12" t="n"/>
      <c r="P589" s="11" t="n"/>
      <c r="Q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11" t="n"/>
      <c r="L590" s="11" t="n"/>
      <c r="M590" s="11" t="n"/>
      <c r="N590" s="11" t="n"/>
      <c r="O590" s="12" t="n"/>
      <c r="P590" s="11" t="n"/>
      <c r="Q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11" t="n"/>
      <c r="L591" s="11" t="n"/>
      <c r="M591" s="11" t="n"/>
      <c r="N591" s="11" t="n"/>
      <c r="O591" s="12" t="n"/>
      <c r="P591" s="11" t="n"/>
      <c r="Q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11" t="n"/>
      <c r="L592" s="11" t="n"/>
      <c r="M592" s="11" t="n"/>
      <c r="N592" s="11" t="n"/>
      <c r="O592" s="12" t="n"/>
      <c r="P592" s="11" t="n"/>
      <c r="Q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11" t="n"/>
      <c r="L593" s="11" t="n"/>
      <c r="M593" s="11" t="n"/>
      <c r="N593" s="11" t="n"/>
      <c r="O593" s="12" t="n"/>
      <c r="P593" s="11" t="n"/>
      <c r="Q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11" t="n"/>
      <c r="L594" s="11" t="n"/>
      <c r="M594" s="11" t="n"/>
      <c r="N594" s="11" t="n"/>
      <c r="O594" s="12" t="n"/>
      <c r="P594" s="11" t="n"/>
      <c r="Q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11" t="n"/>
      <c r="L595" s="11" t="n"/>
      <c r="M595" s="11" t="n"/>
      <c r="N595" s="11" t="n"/>
      <c r="O595" s="12" t="n"/>
      <c r="P595" s="11" t="n"/>
      <c r="Q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11" t="n"/>
      <c r="L596" s="11" t="n"/>
      <c r="M596" s="11" t="n"/>
      <c r="N596" s="11" t="n"/>
      <c r="O596" s="12" t="n"/>
      <c r="P596" s="11" t="n"/>
      <c r="Q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11" t="n"/>
      <c r="L597" s="11" t="n"/>
      <c r="M597" s="11" t="n"/>
      <c r="N597" s="11" t="n"/>
      <c r="O597" s="12" t="n"/>
      <c r="P597" s="11" t="n"/>
      <c r="Q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11" t="n"/>
      <c r="L598" s="11" t="n"/>
      <c r="M598" s="11" t="n"/>
      <c r="N598" s="11" t="n"/>
      <c r="O598" s="12" t="n"/>
      <c r="P598" s="11" t="n"/>
      <c r="Q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11" t="n"/>
      <c r="L599" s="11" t="n"/>
      <c r="M599" s="11" t="n"/>
      <c r="N599" s="11" t="n"/>
      <c r="O599" s="12" t="n"/>
      <c r="P599" s="11" t="n"/>
      <c r="Q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11" t="n"/>
      <c r="L600" s="11" t="n"/>
      <c r="M600" s="11" t="n"/>
      <c r="N600" s="11" t="n"/>
      <c r="O600" s="12" t="n"/>
      <c r="P600" s="11" t="n"/>
      <c r="Q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11" t="n"/>
      <c r="L601" s="11" t="n"/>
      <c r="M601" s="11" t="n"/>
      <c r="N601" s="11" t="n"/>
      <c r="O601" s="12" t="n"/>
      <c r="P601" s="11" t="n"/>
      <c r="Q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11" t="n"/>
      <c r="L602" s="11" t="n"/>
      <c r="M602" s="11" t="n"/>
      <c r="N602" s="11" t="n"/>
      <c r="O602" s="12" t="n"/>
      <c r="P602" s="11" t="n"/>
      <c r="Q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11" t="n"/>
      <c r="L603" s="11" t="n"/>
      <c r="M603" s="11" t="n"/>
      <c r="N603" s="11" t="n"/>
      <c r="O603" s="12" t="n"/>
      <c r="P603" s="11" t="n"/>
      <c r="Q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11" t="n"/>
      <c r="L604" s="11" t="n"/>
      <c r="M604" s="11" t="n"/>
      <c r="N604" s="11" t="n"/>
      <c r="O604" s="12" t="n"/>
      <c r="P604" s="11" t="n"/>
      <c r="Q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11" t="n"/>
      <c r="L605" s="11" t="n"/>
      <c r="M605" s="11" t="n"/>
      <c r="N605" s="11" t="n"/>
      <c r="O605" s="12" t="n"/>
      <c r="P605" s="11" t="n"/>
      <c r="Q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11" t="n"/>
      <c r="L606" s="11" t="n"/>
      <c r="M606" s="11" t="n"/>
      <c r="N606" s="11" t="n"/>
      <c r="O606" s="12" t="n"/>
      <c r="P606" s="11" t="n"/>
      <c r="Q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11" t="n"/>
      <c r="L607" s="11" t="n"/>
      <c r="M607" s="11" t="n"/>
      <c r="N607" s="11" t="n"/>
      <c r="O607" s="12" t="n"/>
      <c r="P607" s="11" t="n"/>
      <c r="Q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11" t="n"/>
      <c r="L608" s="11" t="n"/>
      <c r="M608" s="11" t="n"/>
      <c r="N608" s="11" t="n"/>
      <c r="O608" s="12" t="n"/>
      <c r="P608" s="11" t="n"/>
      <c r="Q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11" t="n"/>
      <c r="L609" s="11" t="n"/>
      <c r="M609" s="11" t="n"/>
      <c r="N609" s="11" t="n"/>
      <c r="O609" s="12" t="n"/>
      <c r="P609" s="11" t="n"/>
      <c r="Q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11" t="n"/>
      <c r="L610" s="11" t="n"/>
      <c r="M610" s="11" t="n"/>
      <c r="N610" s="11" t="n"/>
      <c r="O610" s="12" t="n"/>
      <c r="P610" s="11" t="n"/>
      <c r="Q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11" t="n"/>
      <c r="L611" s="11" t="n"/>
      <c r="M611" s="11" t="n"/>
      <c r="N611" s="11" t="n"/>
      <c r="O611" s="12" t="n"/>
      <c r="P611" s="11" t="n"/>
      <c r="Q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11" t="n"/>
      <c r="L612" s="11" t="n"/>
      <c r="M612" s="11" t="n"/>
      <c r="N612" s="11" t="n"/>
      <c r="O612" s="12" t="n"/>
      <c r="P612" s="11" t="n"/>
      <c r="Q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11" t="n"/>
      <c r="L613" s="11" t="n"/>
      <c r="M613" s="11" t="n"/>
      <c r="N613" s="11" t="n"/>
      <c r="O613" s="12" t="n"/>
      <c r="P613" s="11" t="n"/>
      <c r="Q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11" t="n"/>
      <c r="L614" s="11" t="n"/>
      <c r="M614" s="11" t="n"/>
      <c r="N614" s="11" t="n"/>
      <c r="O614" s="12" t="n"/>
      <c r="P614" s="11" t="n"/>
      <c r="Q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11" t="n"/>
      <c r="L615" s="11" t="n"/>
      <c r="M615" s="11" t="n"/>
      <c r="N615" s="11" t="n"/>
      <c r="O615" s="12" t="n"/>
      <c r="P615" s="11" t="n"/>
      <c r="Q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11" t="n"/>
      <c r="L616" s="11" t="n"/>
      <c r="M616" s="11" t="n"/>
      <c r="N616" s="11" t="n"/>
      <c r="O616" s="12" t="n"/>
      <c r="P616" s="11" t="n"/>
      <c r="Q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11" t="n"/>
      <c r="L617" s="11" t="n"/>
      <c r="M617" s="11" t="n"/>
      <c r="N617" s="11" t="n"/>
      <c r="O617" s="12" t="n"/>
      <c r="P617" s="11" t="n"/>
      <c r="Q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11" t="n"/>
      <c r="L618" s="11" t="n"/>
      <c r="M618" s="11" t="n"/>
      <c r="N618" s="11" t="n"/>
      <c r="O618" s="12" t="n"/>
      <c r="P618" s="11" t="n"/>
      <c r="Q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11" t="n"/>
      <c r="L619" s="11" t="n"/>
      <c r="M619" s="11" t="n"/>
      <c r="N619" s="11" t="n"/>
      <c r="O619" s="12" t="n"/>
      <c r="P619" s="11" t="n"/>
      <c r="Q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11" t="n"/>
      <c r="L620" s="11" t="n"/>
      <c r="M620" s="11" t="n"/>
      <c r="N620" s="11" t="n"/>
      <c r="O620" s="12" t="n"/>
      <c r="P620" s="11" t="n"/>
      <c r="Q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11" t="n"/>
      <c r="L621" s="11" t="n"/>
      <c r="M621" s="11" t="n"/>
      <c r="N621" s="11" t="n"/>
      <c r="O621" s="12" t="n"/>
      <c r="P621" s="11" t="n"/>
      <c r="Q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11" t="n"/>
      <c r="L622" s="11" t="n"/>
      <c r="M622" s="11" t="n"/>
      <c r="N622" s="11" t="n"/>
      <c r="O622" s="12" t="n"/>
      <c r="P622" s="11" t="n"/>
      <c r="Q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11" t="n"/>
      <c r="L623" s="11" t="n"/>
      <c r="M623" s="11" t="n"/>
      <c r="N623" s="11" t="n"/>
      <c r="O623" s="12" t="n"/>
      <c r="P623" s="11" t="n"/>
      <c r="Q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11" t="n"/>
      <c r="L624" s="11" t="n"/>
      <c r="M624" s="11" t="n"/>
      <c r="N624" s="11" t="n"/>
      <c r="O624" s="12" t="n"/>
      <c r="P624" s="11" t="n"/>
      <c r="Q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11" t="n"/>
      <c r="L625" s="11" t="n"/>
      <c r="M625" s="11" t="n"/>
      <c r="N625" s="11" t="n"/>
      <c r="O625" s="12" t="n"/>
      <c r="P625" s="11" t="n"/>
      <c r="Q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11" t="n"/>
      <c r="L626" s="11" t="n"/>
      <c r="M626" s="11" t="n"/>
      <c r="N626" s="11" t="n"/>
      <c r="O626" s="12" t="n"/>
      <c r="P626" s="11" t="n"/>
      <c r="Q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11" t="n"/>
      <c r="L627" s="11" t="n"/>
      <c r="M627" s="11" t="n"/>
      <c r="N627" s="11" t="n"/>
      <c r="O627" s="12" t="n"/>
      <c r="P627" s="11" t="n"/>
      <c r="Q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11" t="n"/>
      <c r="L628" s="11" t="n"/>
      <c r="M628" s="11" t="n"/>
      <c r="N628" s="11" t="n"/>
      <c r="O628" s="12" t="n"/>
      <c r="P628" s="11" t="n"/>
      <c r="Q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11" t="n"/>
      <c r="L629" s="11" t="n"/>
      <c r="M629" s="11" t="n"/>
      <c r="N629" s="11" t="n"/>
      <c r="O629" s="12" t="n"/>
      <c r="P629" s="11" t="n"/>
      <c r="Q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11" t="n"/>
      <c r="L630" s="11" t="n"/>
      <c r="M630" s="11" t="n"/>
      <c r="N630" s="11" t="n"/>
      <c r="O630" s="12" t="n"/>
      <c r="P630" s="11" t="n"/>
      <c r="Q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11" t="n"/>
      <c r="L631" s="11" t="n"/>
      <c r="M631" s="11" t="n"/>
      <c r="N631" s="11" t="n"/>
      <c r="O631" s="12" t="n"/>
      <c r="P631" s="11" t="n"/>
      <c r="Q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11" t="n"/>
      <c r="L632" s="11" t="n"/>
      <c r="M632" s="11" t="n"/>
      <c r="N632" s="11" t="n"/>
      <c r="O632" s="12" t="n"/>
      <c r="P632" s="11" t="n"/>
      <c r="Q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11" t="n"/>
      <c r="L633" s="11" t="n"/>
      <c r="M633" s="11" t="n"/>
      <c r="N633" s="11" t="n"/>
      <c r="O633" s="12" t="n"/>
      <c r="P633" s="11" t="n"/>
      <c r="Q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11" t="n"/>
      <c r="L634" s="11" t="n"/>
      <c r="M634" s="11" t="n"/>
      <c r="N634" s="11" t="n"/>
      <c r="O634" s="12" t="n"/>
      <c r="P634" s="11" t="n"/>
      <c r="Q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11" t="n"/>
      <c r="L635" s="11" t="n"/>
      <c r="M635" s="11" t="n"/>
      <c r="N635" s="11" t="n"/>
      <c r="O635" s="12" t="n"/>
      <c r="P635" s="11" t="n"/>
      <c r="Q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11" t="n"/>
      <c r="L636" s="11" t="n"/>
      <c r="M636" s="11" t="n"/>
      <c r="N636" s="11" t="n"/>
      <c r="O636" s="12" t="n"/>
      <c r="P636" s="11" t="n"/>
      <c r="Q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11" t="n"/>
      <c r="L637" s="11" t="n"/>
      <c r="M637" s="11" t="n"/>
      <c r="N637" s="11" t="n"/>
      <c r="O637" s="12" t="n"/>
      <c r="P637" s="11" t="n"/>
      <c r="Q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11" t="n"/>
      <c r="L638" s="11" t="n"/>
      <c r="M638" s="11" t="n"/>
      <c r="N638" s="11" t="n"/>
      <c r="O638" s="12" t="n"/>
      <c r="P638" s="11" t="n"/>
      <c r="Q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11" t="n"/>
      <c r="L639" s="11" t="n"/>
      <c r="M639" s="11" t="n"/>
      <c r="N639" s="11" t="n"/>
      <c r="O639" s="12" t="n"/>
      <c r="P639" s="11" t="n"/>
      <c r="Q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11" t="n"/>
      <c r="L640" s="11" t="n"/>
      <c r="M640" s="11" t="n"/>
      <c r="N640" s="11" t="n"/>
      <c r="O640" s="12" t="n"/>
      <c r="P640" s="11" t="n"/>
      <c r="Q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11" t="n"/>
      <c r="L641" s="11" t="n"/>
      <c r="M641" s="11" t="n"/>
      <c r="N641" s="11" t="n"/>
      <c r="O641" s="12" t="n"/>
      <c r="P641" s="11" t="n"/>
      <c r="Q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11" t="n"/>
      <c r="L642" s="11" t="n"/>
      <c r="M642" s="11" t="n"/>
      <c r="N642" s="11" t="n"/>
      <c r="O642" s="12" t="n"/>
      <c r="P642" s="11" t="n"/>
      <c r="Q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11" t="n"/>
      <c r="L643" s="11" t="n"/>
      <c r="M643" s="11" t="n"/>
      <c r="N643" s="11" t="n"/>
      <c r="O643" s="12" t="n"/>
      <c r="P643" s="11" t="n"/>
      <c r="Q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11" t="n"/>
      <c r="L644" s="11" t="n"/>
      <c r="M644" s="11" t="n"/>
      <c r="N644" s="11" t="n"/>
      <c r="O644" s="12" t="n"/>
      <c r="P644" s="11" t="n"/>
      <c r="Q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11" t="n"/>
      <c r="L645" s="11" t="n"/>
      <c r="M645" s="11" t="n"/>
      <c r="N645" s="11" t="n"/>
      <c r="O645" s="12" t="n"/>
      <c r="P645" s="11" t="n"/>
      <c r="Q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11" t="n"/>
      <c r="L646" s="11" t="n"/>
      <c r="M646" s="11" t="n"/>
      <c r="N646" s="11" t="n"/>
      <c r="O646" s="12" t="n"/>
      <c r="P646" s="11" t="n"/>
      <c r="Q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11" t="n"/>
      <c r="L647" s="11" t="n"/>
      <c r="M647" s="11" t="n"/>
      <c r="N647" s="11" t="n"/>
      <c r="O647" s="12" t="n"/>
      <c r="P647" s="11" t="n"/>
      <c r="Q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11" t="n"/>
      <c r="L648" s="11" t="n"/>
      <c r="M648" s="11" t="n"/>
      <c r="N648" s="11" t="n"/>
      <c r="O648" s="12" t="n"/>
      <c r="P648" s="11" t="n"/>
      <c r="Q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11" t="n"/>
      <c r="L649" s="11" t="n"/>
      <c r="M649" s="11" t="n"/>
      <c r="N649" s="11" t="n"/>
      <c r="O649" s="12" t="n"/>
      <c r="P649" s="11" t="n"/>
      <c r="Q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11" t="n"/>
      <c r="L650" s="11" t="n"/>
      <c r="M650" s="11" t="n"/>
      <c r="N650" s="11" t="n"/>
      <c r="O650" s="12" t="n"/>
      <c r="P650" s="11" t="n"/>
      <c r="Q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11" t="n"/>
      <c r="L651" s="11" t="n"/>
      <c r="M651" s="11" t="n"/>
      <c r="N651" s="11" t="n"/>
      <c r="O651" s="12" t="n"/>
      <c r="P651" s="11" t="n"/>
      <c r="Q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11" t="n"/>
      <c r="L652" s="11" t="n"/>
      <c r="M652" s="11" t="n"/>
      <c r="N652" s="11" t="n"/>
      <c r="O652" s="12" t="n"/>
      <c r="P652" s="11" t="n"/>
      <c r="Q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11" t="n"/>
      <c r="L653" s="11" t="n"/>
      <c r="M653" s="11" t="n"/>
      <c r="N653" s="11" t="n"/>
      <c r="O653" s="12" t="n"/>
      <c r="P653" s="11" t="n"/>
      <c r="Q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11" t="n"/>
      <c r="L654" s="11" t="n"/>
      <c r="M654" s="11" t="n"/>
      <c r="N654" s="11" t="n"/>
      <c r="O654" s="12" t="n"/>
      <c r="P654" s="11" t="n"/>
      <c r="Q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11" t="n"/>
      <c r="L655" s="11" t="n"/>
      <c r="M655" s="11" t="n"/>
      <c r="N655" s="11" t="n"/>
      <c r="O655" s="12" t="n"/>
      <c r="P655" s="11" t="n"/>
      <c r="Q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11" t="n"/>
      <c r="L656" s="11" t="n"/>
      <c r="M656" s="11" t="n"/>
      <c r="N656" s="11" t="n"/>
      <c r="O656" s="12" t="n"/>
      <c r="P656" s="11" t="n"/>
      <c r="Q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11" t="n"/>
      <c r="L657" s="11" t="n"/>
      <c r="M657" s="11" t="n"/>
      <c r="N657" s="11" t="n"/>
      <c r="O657" s="12" t="n"/>
      <c r="P657" s="11" t="n"/>
      <c r="Q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11" t="n"/>
      <c r="L658" s="11" t="n"/>
      <c r="M658" s="11" t="n"/>
      <c r="N658" s="11" t="n"/>
      <c r="O658" s="12" t="n"/>
      <c r="P658" s="11" t="n"/>
      <c r="Q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11" t="n"/>
      <c r="L659" s="11" t="n"/>
      <c r="M659" s="11" t="n"/>
      <c r="N659" s="11" t="n"/>
      <c r="O659" s="12" t="n"/>
      <c r="P659" s="11" t="n"/>
      <c r="Q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11" t="n"/>
      <c r="L660" s="11" t="n"/>
      <c r="M660" s="11" t="n"/>
      <c r="N660" s="11" t="n"/>
      <c r="O660" s="12" t="n"/>
      <c r="P660" s="11" t="n"/>
      <c r="Q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11" t="n"/>
      <c r="L661" s="11" t="n"/>
      <c r="M661" s="11" t="n"/>
      <c r="N661" s="11" t="n"/>
      <c r="O661" s="12" t="n"/>
      <c r="P661" s="11" t="n"/>
      <c r="Q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11" t="n"/>
      <c r="L662" s="11" t="n"/>
      <c r="M662" s="11" t="n"/>
      <c r="N662" s="11" t="n"/>
      <c r="O662" s="12" t="n"/>
      <c r="P662" s="11" t="n"/>
      <c r="Q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11" t="n"/>
      <c r="L663" s="11" t="n"/>
      <c r="M663" s="11" t="n"/>
      <c r="N663" s="11" t="n"/>
      <c r="O663" s="12" t="n"/>
      <c r="P663" s="11" t="n"/>
      <c r="Q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11" t="n"/>
      <c r="L664" s="11" t="n"/>
      <c r="M664" s="11" t="n"/>
      <c r="N664" s="11" t="n"/>
      <c r="O664" s="12" t="n"/>
      <c r="P664" s="11" t="n"/>
      <c r="Q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11" t="n"/>
      <c r="L665" s="11" t="n"/>
      <c r="M665" s="11" t="n"/>
      <c r="N665" s="11" t="n"/>
      <c r="O665" s="12" t="n"/>
      <c r="P665" s="11" t="n"/>
      <c r="Q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11" t="n"/>
      <c r="L666" s="11" t="n"/>
      <c r="M666" s="11" t="n"/>
      <c r="N666" s="11" t="n"/>
      <c r="O666" s="12" t="n"/>
      <c r="P666" s="11" t="n"/>
      <c r="Q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11" t="n"/>
      <c r="L667" s="11" t="n"/>
      <c r="M667" s="11" t="n"/>
      <c r="N667" s="11" t="n"/>
      <c r="O667" s="12" t="n"/>
      <c r="P667" s="11" t="n"/>
      <c r="Q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11" t="n"/>
      <c r="L668" s="11" t="n"/>
      <c r="M668" s="11" t="n"/>
      <c r="N668" s="11" t="n"/>
      <c r="O668" s="12" t="n"/>
      <c r="P668" s="11" t="n"/>
      <c r="Q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11" t="n"/>
      <c r="L669" s="11" t="n"/>
      <c r="M669" s="11" t="n"/>
      <c r="N669" s="11" t="n"/>
      <c r="O669" s="12" t="n"/>
      <c r="P669" s="11" t="n"/>
      <c r="Q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11" t="n"/>
      <c r="L670" s="11" t="n"/>
      <c r="M670" s="11" t="n"/>
      <c r="N670" s="11" t="n"/>
      <c r="O670" s="12" t="n"/>
      <c r="P670" s="11" t="n"/>
      <c r="Q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11" t="n"/>
      <c r="L671" s="11" t="n"/>
      <c r="M671" s="11" t="n"/>
      <c r="N671" s="11" t="n"/>
      <c r="O671" s="12" t="n"/>
      <c r="P671" s="11" t="n"/>
      <c r="Q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11" t="n"/>
      <c r="L672" s="11" t="n"/>
      <c r="M672" s="11" t="n"/>
      <c r="N672" s="11" t="n"/>
      <c r="O672" s="12" t="n"/>
      <c r="P672" s="11" t="n"/>
      <c r="Q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11" t="n"/>
      <c r="L673" s="11" t="n"/>
      <c r="M673" s="11" t="n"/>
      <c r="N673" s="11" t="n"/>
      <c r="O673" s="12" t="n"/>
      <c r="P673" s="11" t="n"/>
      <c r="Q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11" t="n"/>
      <c r="L674" s="11" t="n"/>
      <c r="M674" s="11" t="n"/>
      <c r="N674" s="11" t="n"/>
      <c r="O674" s="12" t="n"/>
      <c r="P674" s="11" t="n"/>
      <c r="Q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11" t="n"/>
      <c r="L675" s="11" t="n"/>
      <c r="M675" s="11" t="n"/>
      <c r="N675" s="11" t="n"/>
      <c r="O675" s="12" t="n"/>
      <c r="P675" s="11" t="n"/>
      <c r="Q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11" t="n"/>
      <c r="L676" s="11" t="n"/>
      <c r="M676" s="11" t="n"/>
      <c r="N676" s="11" t="n"/>
      <c r="O676" s="12" t="n"/>
      <c r="P676" s="11" t="n"/>
      <c r="Q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11" t="n"/>
      <c r="L677" s="11" t="n"/>
      <c r="M677" s="11" t="n"/>
      <c r="N677" s="11" t="n"/>
      <c r="O677" s="12" t="n"/>
      <c r="P677" s="11" t="n"/>
      <c r="Q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11" t="n"/>
      <c r="L678" s="11" t="n"/>
      <c r="M678" s="11" t="n"/>
      <c r="N678" s="11" t="n"/>
      <c r="O678" s="12" t="n"/>
      <c r="P678" s="11" t="n"/>
      <c r="Q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11" t="n"/>
      <c r="L679" s="11" t="n"/>
      <c r="M679" s="11" t="n"/>
      <c r="N679" s="11" t="n"/>
      <c r="O679" s="12" t="n"/>
      <c r="P679" s="11" t="n"/>
      <c r="Q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11" t="n"/>
      <c r="L680" s="11" t="n"/>
      <c r="M680" s="11" t="n"/>
      <c r="N680" s="11" t="n"/>
      <c r="O680" s="12" t="n"/>
      <c r="P680" s="11" t="n"/>
      <c r="Q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11" t="n"/>
      <c r="L681" s="11" t="n"/>
      <c r="M681" s="11" t="n"/>
      <c r="N681" s="11" t="n"/>
      <c r="O681" s="12" t="n"/>
      <c r="P681" s="11" t="n"/>
      <c r="Q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11" t="n"/>
      <c r="L682" s="11" t="n"/>
      <c r="M682" s="11" t="n"/>
      <c r="N682" s="11" t="n"/>
      <c r="O682" s="12" t="n"/>
      <c r="P682" s="11" t="n"/>
      <c r="Q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11" t="n"/>
      <c r="L683" s="11" t="n"/>
      <c r="M683" s="11" t="n"/>
      <c r="N683" s="11" t="n"/>
      <c r="O683" s="12" t="n"/>
      <c r="P683" s="11" t="n"/>
      <c r="Q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11" t="n"/>
      <c r="L684" s="11" t="n"/>
      <c r="M684" s="11" t="n"/>
      <c r="N684" s="11" t="n"/>
      <c r="O684" s="12" t="n"/>
      <c r="P684" s="11" t="n"/>
      <c r="Q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11" t="n"/>
      <c r="L685" s="11" t="n"/>
      <c r="M685" s="11" t="n"/>
      <c r="N685" s="11" t="n"/>
      <c r="O685" s="12" t="n"/>
      <c r="P685" s="11" t="n"/>
      <c r="Q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11" t="n"/>
      <c r="L686" s="11" t="n"/>
      <c r="M686" s="11" t="n"/>
      <c r="N686" s="11" t="n"/>
      <c r="O686" s="12" t="n"/>
      <c r="P686" s="11" t="n"/>
      <c r="Q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11" t="n"/>
      <c r="L687" s="11" t="n"/>
      <c r="M687" s="11" t="n"/>
      <c r="N687" s="11" t="n"/>
      <c r="O687" s="12" t="n"/>
      <c r="P687" s="11" t="n"/>
      <c r="Q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11" t="n"/>
      <c r="L688" s="11" t="n"/>
      <c r="M688" s="11" t="n"/>
      <c r="N688" s="11" t="n"/>
      <c r="O688" s="12" t="n"/>
      <c r="P688" s="11" t="n"/>
      <c r="Q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11" t="n"/>
      <c r="L689" s="11" t="n"/>
      <c r="M689" s="11" t="n"/>
      <c r="N689" s="11" t="n"/>
      <c r="O689" s="12" t="n"/>
      <c r="P689" s="11" t="n"/>
      <c r="Q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11" t="n"/>
      <c r="L690" s="11" t="n"/>
      <c r="M690" s="11" t="n"/>
      <c r="N690" s="11" t="n"/>
      <c r="O690" s="12" t="n"/>
      <c r="P690" s="11" t="n"/>
      <c r="Q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11" t="n"/>
      <c r="L691" s="11" t="n"/>
      <c r="M691" s="11" t="n"/>
      <c r="N691" s="11" t="n"/>
      <c r="O691" s="12" t="n"/>
      <c r="P691" s="11" t="n"/>
      <c r="Q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11" t="n"/>
      <c r="L692" s="11" t="n"/>
      <c r="M692" s="11" t="n"/>
      <c r="N692" s="11" t="n"/>
      <c r="O692" s="12" t="n"/>
      <c r="P692" s="11" t="n"/>
      <c r="Q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11" t="n"/>
      <c r="L693" s="11" t="n"/>
      <c r="M693" s="11" t="n"/>
      <c r="N693" s="11" t="n"/>
      <c r="O693" s="12" t="n"/>
      <c r="P693" s="11" t="n"/>
      <c r="Q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11" t="n"/>
      <c r="L694" s="11" t="n"/>
      <c r="M694" s="11" t="n"/>
      <c r="N694" s="11" t="n"/>
      <c r="O694" s="12" t="n"/>
      <c r="P694" s="11" t="n"/>
      <c r="Q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11" t="n"/>
      <c r="L695" s="11" t="n"/>
      <c r="M695" s="11" t="n"/>
      <c r="N695" s="11" t="n"/>
      <c r="O695" s="12" t="n"/>
      <c r="P695" s="11" t="n"/>
      <c r="Q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11" t="n"/>
      <c r="L696" s="11" t="n"/>
      <c r="M696" s="11" t="n"/>
      <c r="N696" s="11" t="n"/>
      <c r="O696" s="12" t="n"/>
      <c r="P696" s="11" t="n"/>
      <c r="Q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11" t="n"/>
      <c r="L697" s="11" t="n"/>
      <c r="M697" s="11" t="n"/>
      <c r="N697" s="11" t="n"/>
      <c r="O697" s="12" t="n"/>
      <c r="P697" s="11" t="n"/>
      <c r="Q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11" t="n"/>
      <c r="L698" s="11" t="n"/>
      <c r="M698" s="11" t="n"/>
      <c r="N698" s="11" t="n"/>
      <c r="O698" s="12" t="n"/>
      <c r="P698" s="11" t="n"/>
      <c r="Q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11" t="n"/>
      <c r="L699" s="11" t="n"/>
      <c r="M699" s="11" t="n"/>
      <c r="N699" s="11" t="n"/>
      <c r="O699" s="12" t="n"/>
      <c r="P699" s="11" t="n"/>
      <c r="Q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11" t="n"/>
      <c r="L700" s="11" t="n"/>
      <c r="M700" s="11" t="n"/>
      <c r="N700" s="11" t="n"/>
      <c r="O700" s="12" t="n"/>
      <c r="P700" s="11" t="n"/>
      <c r="Q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11" t="n"/>
      <c r="L701" s="11" t="n"/>
      <c r="M701" s="11" t="n"/>
      <c r="N701" s="11" t="n"/>
      <c r="O701" s="12" t="n"/>
      <c r="P701" s="11" t="n"/>
      <c r="Q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11" t="n"/>
      <c r="L702" s="11" t="n"/>
      <c r="M702" s="11" t="n"/>
      <c r="N702" s="11" t="n"/>
      <c r="O702" s="12" t="n"/>
      <c r="P702" s="11" t="n"/>
      <c r="Q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11" t="n"/>
      <c r="L703" s="11" t="n"/>
      <c r="M703" s="11" t="n"/>
      <c r="N703" s="11" t="n"/>
      <c r="O703" s="12" t="n"/>
      <c r="P703" s="11" t="n"/>
      <c r="Q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11" t="n"/>
      <c r="L704" s="11" t="n"/>
      <c r="M704" s="11" t="n"/>
      <c r="N704" s="11" t="n"/>
      <c r="O704" s="12" t="n"/>
      <c r="P704" s="11" t="n"/>
      <c r="Q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11" t="n"/>
      <c r="L705" s="11" t="n"/>
      <c r="M705" s="11" t="n"/>
      <c r="N705" s="11" t="n"/>
      <c r="O705" s="12" t="n"/>
      <c r="P705" s="11" t="n"/>
      <c r="Q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11" t="n"/>
      <c r="L706" s="11" t="n"/>
      <c r="M706" s="11" t="n"/>
      <c r="N706" s="11" t="n"/>
      <c r="O706" s="12" t="n"/>
      <c r="P706" s="11" t="n"/>
      <c r="Q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11" t="n"/>
      <c r="L707" s="11" t="n"/>
      <c r="M707" s="11" t="n"/>
      <c r="N707" s="11" t="n"/>
      <c r="O707" s="12" t="n"/>
      <c r="P707" s="11" t="n"/>
      <c r="Q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11" t="n"/>
      <c r="L708" s="11" t="n"/>
      <c r="M708" s="11" t="n"/>
      <c r="N708" s="11" t="n"/>
      <c r="O708" s="12" t="n"/>
      <c r="P708" s="11" t="n"/>
      <c r="Q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11" t="n"/>
      <c r="L709" s="11" t="n"/>
      <c r="M709" s="11" t="n"/>
      <c r="N709" s="11" t="n"/>
      <c r="O709" s="12" t="n"/>
      <c r="P709" s="11" t="n"/>
      <c r="Q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11" t="n"/>
      <c r="L710" s="11" t="n"/>
      <c r="M710" s="11" t="n"/>
      <c r="N710" s="11" t="n"/>
      <c r="O710" s="12" t="n"/>
      <c r="P710" s="11" t="n"/>
      <c r="Q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11" t="n"/>
      <c r="L711" s="11" t="n"/>
      <c r="M711" s="11" t="n"/>
      <c r="N711" s="11" t="n"/>
      <c r="O711" s="12" t="n"/>
      <c r="P711" s="11" t="n"/>
      <c r="Q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11" t="n"/>
      <c r="L712" s="11" t="n"/>
      <c r="M712" s="11" t="n"/>
      <c r="N712" s="11" t="n"/>
      <c r="O712" s="12" t="n"/>
      <c r="P712" s="11" t="n"/>
      <c r="Q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11" t="n"/>
      <c r="L713" s="11" t="n"/>
      <c r="M713" s="11" t="n"/>
      <c r="N713" s="11" t="n"/>
      <c r="O713" s="12" t="n"/>
      <c r="P713" s="11" t="n"/>
      <c r="Q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11" t="n"/>
      <c r="L714" s="11" t="n"/>
      <c r="M714" s="11" t="n"/>
      <c r="N714" s="11" t="n"/>
      <c r="O714" s="12" t="n"/>
      <c r="P714" s="11" t="n"/>
      <c r="Q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11" t="n"/>
      <c r="L715" s="11" t="n"/>
      <c r="M715" s="11" t="n"/>
      <c r="N715" s="11" t="n"/>
      <c r="O715" s="12" t="n"/>
      <c r="P715" s="11" t="n"/>
      <c r="Q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11" t="n"/>
      <c r="L716" s="11" t="n"/>
      <c r="M716" s="11" t="n"/>
      <c r="N716" s="11" t="n"/>
      <c r="O716" s="12" t="n"/>
      <c r="P716" s="11" t="n"/>
      <c r="Q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11" t="n"/>
      <c r="L717" s="11" t="n"/>
      <c r="M717" s="11" t="n"/>
      <c r="N717" s="11" t="n"/>
      <c r="O717" s="12" t="n"/>
      <c r="P717" s="11" t="n"/>
      <c r="Q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11" t="n"/>
      <c r="L718" s="11" t="n"/>
      <c r="M718" s="11" t="n"/>
      <c r="N718" s="11" t="n"/>
      <c r="O718" s="12" t="n"/>
      <c r="P718" s="11" t="n"/>
      <c r="Q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11" t="n"/>
      <c r="L719" s="11" t="n"/>
      <c r="M719" s="11" t="n"/>
      <c r="N719" s="11" t="n"/>
      <c r="O719" s="12" t="n"/>
      <c r="P719" s="11" t="n"/>
      <c r="Q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11" t="n"/>
      <c r="L720" s="11" t="n"/>
      <c r="M720" s="11" t="n"/>
      <c r="N720" s="11" t="n"/>
      <c r="O720" s="12" t="n"/>
      <c r="P720" s="11" t="n"/>
      <c r="Q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11" t="n"/>
      <c r="L721" s="11" t="n"/>
      <c r="M721" s="11" t="n"/>
      <c r="N721" s="11" t="n"/>
      <c r="O721" s="12" t="n"/>
      <c r="P721" s="11" t="n"/>
      <c r="Q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11" t="n"/>
      <c r="L722" s="11" t="n"/>
      <c r="M722" s="11" t="n"/>
      <c r="N722" s="11" t="n"/>
      <c r="O722" s="12" t="n"/>
      <c r="P722" s="11" t="n"/>
      <c r="Q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11" t="n"/>
      <c r="L723" s="11" t="n"/>
      <c r="M723" s="11" t="n"/>
      <c r="N723" s="11" t="n"/>
      <c r="O723" s="12" t="n"/>
      <c r="P723" s="11" t="n"/>
      <c r="Q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11" t="n"/>
      <c r="L724" s="11" t="n"/>
      <c r="M724" s="11" t="n"/>
      <c r="N724" s="11" t="n"/>
      <c r="O724" s="12" t="n"/>
      <c r="P724" s="11" t="n"/>
      <c r="Q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11" t="n"/>
      <c r="L725" s="11" t="n"/>
      <c r="M725" s="11" t="n"/>
      <c r="N725" s="11" t="n"/>
      <c r="O725" s="12" t="n"/>
      <c r="P725" s="11" t="n"/>
      <c r="Q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11" t="n"/>
      <c r="L726" s="11" t="n"/>
      <c r="M726" s="11" t="n"/>
      <c r="N726" s="11" t="n"/>
      <c r="O726" s="12" t="n"/>
      <c r="P726" s="11" t="n"/>
      <c r="Q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11" t="n"/>
      <c r="L727" s="11" t="n"/>
      <c r="M727" s="11" t="n"/>
      <c r="N727" s="11" t="n"/>
      <c r="O727" s="12" t="n"/>
      <c r="P727" s="11" t="n"/>
      <c r="Q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11" t="n"/>
      <c r="L728" s="11" t="n"/>
      <c r="M728" s="11" t="n"/>
      <c r="N728" s="11" t="n"/>
      <c r="O728" s="12" t="n"/>
      <c r="P728" s="11" t="n"/>
      <c r="Q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11" t="n"/>
      <c r="L729" s="11" t="n"/>
      <c r="M729" s="11" t="n"/>
      <c r="N729" s="11" t="n"/>
      <c r="O729" s="12" t="n"/>
      <c r="P729" s="11" t="n"/>
      <c r="Q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11" t="n"/>
      <c r="L730" s="11" t="n"/>
      <c r="M730" s="11" t="n"/>
      <c r="N730" s="11" t="n"/>
      <c r="O730" s="12" t="n"/>
      <c r="P730" s="11" t="n"/>
      <c r="Q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11" t="n"/>
      <c r="L731" s="11" t="n"/>
      <c r="M731" s="11" t="n"/>
      <c r="N731" s="11" t="n"/>
      <c r="O731" s="12" t="n"/>
      <c r="P731" s="11" t="n"/>
      <c r="Q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11" t="n"/>
      <c r="L732" s="11" t="n"/>
      <c r="M732" s="11" t="n"/>
      <c r="N732" s="11" t="n"/>
      <c r="O732" s="12" t="n"/>
      <c r="P732" s="11" t="n"/>
      <c r="Q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11" t="n"/>
      <c r="L733" s="11" t="n"/>
      <c r="M733" s="11" t="n"/>
      <c r="N733" s="11" t="n"/>
      <c r="O733" s="12" t="n"/>
      <c r="P733" s="11" t="n"/>
      <c r="Q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11" t="n"/>
      <c r="L734" s="11" t="n"/>
      <c r="M734" s="11" t="n"/>
      <c r="N734" s="11" t="n"/>
      <c r="O734" s="12" t="n"/>
      <c r="P734" s="11" t="n"/>
      <c r="Q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11" t="n"/>
      <c r="L735" s="11" t="n"/>
      <c r="M735" s="11" t="n"/>
      <c r="N735" s="11" t="n"/>
      <c r="O735" s="12" t="n"/>
      <c r="P735" s="11" t="n"/>
      <c r="Q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11" t="n"/>
      <c r="L736" s="11" t="n"/>
      <c r="M736" s="11" t="n"/>
      <c r="N736" s="11" t="n"/>
      <c r="O736" s="12" t="n"/>
      <c r="P736" s="11" t="n"/>
      <c r="Q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11" t="n"/>
      <c r="L737" s="11" t="n"/>
      <c r="M737" s="11" t="n"/>
      <c r="N737" s="11" t="n"/>
      <c r="O737" s="12" t="n"/>
      <c r="P737" s="11" t="n"/>
      <c r="Q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11" t="n"/>
      <c r="L738" s="11" t="n"/>
      <c r="M738" s="11" t="n"/>
      <c r="N738" s="11" t="n"/>
      <c r="O738" s="12" t="n"/>
      <c r="P738" s="11" t="n"/>
      <c r="Q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11" t="n"/>
      <c r="L739" s="11" t="n"/>
      <c r="M739" s="11" t="n"/>
      <c r="N739" s="11" t="n"/>
      <c r="O739" s="12" t="n"/>
      <c r="P739" s="11" t="n"/>
      <c r="Q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11" t="n"/>
      <c r="L740" s="11" t="n"/>
      <c r="M740" s="11" t="n"/>
      <c r="N740" s="11" t="n"/>
      <c r="O740" s="12" t="n"/>
      <c r="P740" s="11" t="n"/>
      <c r="Q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11" t="n"/>
      <c r="L741" s="11" t="n"/>
      <c r="M741" s="11" t="n"/>
      <c r="N741" s="11" t="n"/>
      <c r="O741" s="12" t="n"/>
      <c r="P741" s="11" t="n"/>
      <c r="Q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11" t="n"/>
      <c r="L742" s="11" t="n"/>
      <c r="M742" s="11" t="n"/>
      <c r="N742" s="11" t="n"/>
      <c r="O742" s="12" t="n"/>
      <c r="P742" s="11" t="n"/>
      <c r="Q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11" t="n"/>
      <c r="L743" s="11" t="n"/>
      <c r="M743" s="11" t="n"/>
      <c r="N743" s="11" t="n"/>
      <c r="O743" s="12" t="n"/>
      <c r="P743" s="11" t="n"/>
      <c r="Q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11" t="n"/>
      <c r="L744" s="11" t="n"/>
      <c r="M744" s="11" t="n"/>
      <c r="N744" s="11" t="n"/>
      <c r="O744" s="12" t="n"/>
      <c r="P744" s="11" t="n"/>
      <c r="Q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11" t="n"/>
      <c r="L745" s="11" t="n"/>
      <c r="M745" s="11" t="n"/>
      <c r="N745" s="11" t="n"/>
      <c r="O745" s="12" t="n"/>
      <c r="P745" s="11" t="n"/>
      <c r="Q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11" t="n"/>
      <c r="L746" s="11" t="n"/>
      <c r="M746" s="11" t="n"/>
      <c r="N746" s="11" t="n"/>
      <c r="O746" s="12" t="n"/>
      <c r="P746" s="11" t="n"/>
      <c r="Q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11" t="n"/>
      <c r="L747" s="11" t="n"/>
      <c r="M747" s="11" t="n"/>
      <c r="N747" s="11" t="n"/>
      <c r="O747" s="12" t="n"/>
      <c r="P747" s="11" t="n"/>
      <c r="Q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11" t="n"/>
      <c r="L748" s="11" t="n"/>
      <c r="M748" s="11" t="n"/>
      <c r="N748" s="11" t="n"/>
      <c r="O748" s="12" t="n"/>
      <c r="P748" s="11" t="n"/>
      <c r="Q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11" t="n"/>
      <c r="L749" s="11" t="n"/>
      <c r="M749" s="11" t="n"/>
      <c r="N749" s="11" t="n"/>
      <c r="O749" s="12" t="n"/>
      <c r="P749" s="11" t="n"/>
      <c r="Q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11" t="n"/>
      <c r="L750" s="11" t="n"/>
      <c r="M750" s="11" t="n"/>
      <c r="N750" s="11" t="n"/>
      <c r="O750" s="12" t="n"/>
      <c r="P750" s="11" t="n"/>
      <c r="Q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11" t="n"/>
      <c r="L751" s="11" t="n"/>
      <c r="M751" s="11" t="n"/>
      <c r="N751" s="11" t="n"/>
      <c r="O751" s="12" t="n"/>
      <c r="P751" s="11" t="n"/>
      <c r="Q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11" t="n"/>
      <c r="L752" s="11" t="n"/>
      <c r="M752" s="11" t="n"/>
      <c r="N752" s="11" t="n"/>
      <c r="O752" s="12" t="n"/>
      <c r="P752" s="11" t="n"/>
      <c r="Q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11" t="n"/>
      <c r="L753" s="11" t="n"/>
      <c r="M753" s="11" t="n"/>
      <c r="N753" s="11" t="n"/>
      <c r="O753" s="12" t="n"/>
      <c r="P753" s="11" t="n"/>
      <c r="Q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11" t="n"/>
      <c r="L754" s="11" t="n"/>
      <c r="M754" s="11" t="n"/>
      <c r="N754" s="11" t="n"/>
      <c r="O754" s="12" t="n"/>
      <c r="P754" s="11" t="n"/>
      <c r="Q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11" t="n"/>
      <c r="L755" s="11" t="n"/>
      <c r="M755" s="11" t="n"/>
      <c r="N755" s="11" t="n"/>
      <c r="O755" s="12" t="n"/>
      <c r="P755" s="11" t="n"/>
      <c r="Q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11" t="n"/>
      <c r="L756" s="11" t="n"/>
      <c r="M756" s="11" t="n"/>
      <c r="N756" s="11" t="n"/>
      <c r="O756" s="12" t="n"/>
      <c r="P756" s="11" t="n"/>
      <c r="Q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11" t="n"/>
      <c r="L757" s="11" t="n"/>
      <c r="M757" s="11" t="n"/>
      <c r="N757" s="11" t="n"/>
      <c r="O757" s="12" t="n"/>
      <c r="P757" s="11" t="n"/>
      <c r="Q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11" t="n"/>
      <c r="L758" s="11" t="n"/>
      <c r="M758" s="11" t="n"/>
      <c r="N758" s="11" t="n"/>
      <c r="O758" s="12" t="n"/>
      <c r="P758" s="11" t="n"/>
      <c r="Q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11" t="n"/>
      <c r="L759" s="11" t="n"/>
      <c r="M759" s="11" t="n"/>
      <c r="N759" s="11" t="n"/>
      <c r="O759" s="12" t="n"/>
      <c r="P759" s="11" t="n"/>
      <c r="Q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11" t="n"/>
      <c r="L760" s="11" t="n"/>
      <c r="M760" s="11" t="n"/>
      <c r="N760" s="11" t="n"/>
      <c r="O760" s="12" t="n"/>
      <c r="P760" s="11" t="n"/>
      <c r="Q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11" t="n"/>
      <c r="L761" s="11" t="n"/>
      <c r="M761" s="11" t="n"/>
      <c r="N761" s="11" t="n"/>
      <c r="O761" s="12" t="n"/>
      <c r="P761" s="11" t="n"/>
      <c r="Q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11" t="n"/>
      <c r="L762" s="11" t="n"/>
      <c r="M762" s="11" t="n"/>
      <c r="N762" s="11" t="n"/>
      <c r="O762" s="12" t="n"/>
      <c r="P762" s="11" t="n"/>
      <c r="Q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11" t="n"/>
      <c r="L763" s="11" t="n"/>
      <c r="M763" s="11" t="n"/>
      <c r="N763" s="11" t="n"/>
      <c r="O763" s="12" t="n"/>
      <c r="P763" s="11" t="n"/>
      <c r="Q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11" t="n"/>
      <c r="L764" s="11" t="n"/>
      <c r="M764" s="11" t="n"/>
      <c r="N764" s="11" t="n"/>
      <c r="O764" s="12" t="n"/>
      <c r="P764" s="11" t="n"/>
      <c r="Q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11" t="n"/>
      <c r="L765" s="11" t="n"/>
      <c r="M765" s="11" t="n"/>
      <c r="N765" s="11" t="n"/>
      <c r="O765" s="12" t="n"/>
      <c r="P765" s="11" t="n"/>
      <c r="Q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11" t="n"/>
      <c r="L766" s="11" t="n"/>
      <c r="M766" s="11" t="n"/>
      <c r="N766" s="11" t="n"/>
      <c r="O766" s="12" t="n"/>
      <c r="P766" s="11" t="n"/>
      <c r="Q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11" t="n"/>
      <c r="L767" s="11" t="n"/>
      <c r="M767" s="11" t="n"/>
      <c r="N767" s="11" t="n"/>
      <c r="O767" s="12" t="n"/>
      <c r="P767" s="11" t="n"/>
      <c r="Q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11" t="n"/>
      <c r="L768" s="11" t="n"/>
      <c r="M768" s="11" t="n"/>
      <c r="N768" s="11" t="n"/>
      <c r="O768" s="12" t="n"/>
      <c r="P768" s="11" t="n"/>
      <c r="Q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11" t="n"/>
      <c r="L769" s="11" t="n"/>
      <c r="M769" s="11" t="n"/>
      <c r="N769" s="11" t="n"/>
      <c r="O769" s="12" t="n"/>
      <c r="P769" s="11" t="n"/>
      <c r="Q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11" t="n"/>
      <c r="L770" s="11" t="n"/>
      <c r="M770" s="11" t="n"/>
      <c r="N770" s="11" t="n"/>
      <c r="O770" s="12" t="n"/>
      <c r="P770" s="11" t="n"/>
      <c r="Q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11" t="n"/>
      <c r="L771" s="11" t="n"/>
      <c r="M771" s="11" t="n"/>
      <c r="N771" s="11" t="n"/>
      <c r="O771" s="12" t="n"/>
      <c r="P771" s="11" t="n"/>
      <c r="Q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11" t="n"/>
      <c r="L772" s="11" t="n"/>
      <c r="M772" s="11" t="n"/>
      <c r="N772" s="11" t="n"/>
      <c r="O772" s="12" t="n"/>
      <c r="P772" s="11" t="n"/>
      <c r="Q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11" t="n"/>
      <c r="L773" s="11" t="n"/>
      <c r="M773" s="11" t="n"/>
      <c r="N773" s="11" t="n"/>
      <c r="O773" s="12" t="n"/>
      <c r="P773" s="11" t="n"/>
      <c r="Q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11" t="n"/>
      <c r="L774" s="11" t="n"/>
      <c r="M774" s="11" t="n"/>
      <c r="N774" s="11" t="n"/>
      <c r="O774" s="12" t="n"/>
      <c r="P774" s="11" t="n"/>
      <c r="Q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11" t="n"/>
      <c r="L775" s="11" t="n"/>
      <c r="M775" s="11" t="n"/>
      <c r="N775" s="11" t="n"/>
      <c r="O775" s="12" t="n"/>
      <c r="P775" s="11" t="n"/>
      <c r="Q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11" t="n"/>
      <c r="L776" s="11" t="n"/>
      <c r="M776" s="11" t="n"/>
      <c r="N776" s="11" t="n"/>
      <c r="O776" s="12" t="n"/>
      <c r="P776" s="11" t="n"/>
      <c r="Q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11" t="n"/>
      <c r="L777" s="11" t="n"/>
      <c r="M777" s="11" t="n"/>
      <c r="N777" s="11" t="n"/>
      <c r="O777" s="12" t="n"/>
      <c r="P777" s="11" t="n"/>
      <c r="Q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11" t="n"/>
      <c r="L778" s="11" t="n"/>
      <c r="M778" s="11" t="n"/>
      <c r="N778" s="11" t="n"/>
      <c r="O778" s="12" t="n"/>
      <c r="P778" s="11" t="n"/>
      <c r="Q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11" t="n"/>
      <c r="L779" s="11" t="n"/>
      <c r="M779" s="11" t="n"/>
      <c r="N779" s="11" t="n"/>
      <c r="O779" s="12" t="n"/>
      <c r="P779" s="11" t="n"/>
      <c r="Q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11" t="n"/>
      <c r="L780" s="11" t="n"/>
      <c r="M780" s="11" t="n"/>
      <c r="N780" s="11" t="n"/>
      <c r="O780" s="12" t="n"/>
      <c r="P780" s="11" t="n"/>
      <c r="Q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11" t="n"/>
      <c r="L781" s="11" t="n"/>
      <c r="M781" s="11" t="n"/>
      <c r="N781" s="11" t="n"/>
      <c r="O781" s="12" t="n"/>
      <c r="P781" s="11" t="n"/>
      <c r="Q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11" t="n"/>
      <c r="L782" s="11" t="n"/>
      <c r="M782" s="11" t="n"/>
      <c r="N782" s="11" t="n"/>
      <c r="O782" s="12" t="n"/>
      <c r="P782" s="11" t="n"/>
      <c r="Q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11" t="n"/>
      <c r="L783" s="11" t="n"/>
      <c r="M783" s="11" t="n"/>
      <c r="N783" s="11" t="n"/>
      <c r="O783" s="12" t="n"/>
      <c r="P783" s="11" t="n"/>
      <c r="Q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11" t="n"/>
      <c r="L784" s="11" t="n"/>
      <c r="M784" s="11" t="n"/>
      <c r="N784" s="11" t="n"/>
      <c r="O784" s="12" t="n"/>
      <c r="P784" s="11" t="n"/>
      <c r="Q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11" t="n"/>
      <c r="L785" s="11" t="n"/>
      <c r="M785" s="11" t="n"/>
      <c r="N785" s="11" t="n"/>
      <c r="O785" s="12" t="n"/>
      <c r="P785" s="11" t="n"/>
      <c r="Q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11" t="n"/>
      <c r="L786" s="11" t="n"/>
      <c r="M786" s="11" t="n"/>
      <c r="N786" s="11" t="n"/>
      <c r="O786" s="12" t="n"/>
      <c r="P786" s="11" t="n"/>
      <c r="Q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11" t="n"/>
      <c r="L787" s="11" t="n"/>
      <c r="M787" s="11" t="n"/>
      <c r="N787" s="11" t="n"/>
      <c r="O787" s="12" t="n"/>
      <c r="P787" s="11" t="n"/>
      <c r="Q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11" t="n"/>
      <c r="L788" s="11" t="n"/>
      <c r="M788" s="11" t="n"/>
      <c r="N788" s="11" t="n"/>
      <c r="O788" s="12" t="n"/>
      <c r="P788" s="11" t="n"/>
      <c r="Q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11" t="n"/>
      <c r="L789" s="11" t="n"/>
      <c r="M789" s="11" t="n"/>
      <c r="N789" s="11" t="n"/>
      <c r="O789" s="12" t="n"/>
      <c r="P789" s="11" t="n"/>
      <c r="Q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11" t="n"/>
      <c r="L790" s="11" t="n"/>
      <c r="M790" s="11" t="n"/>
      <c r="N790" s="11" t="n"/>
      <c r="O790" s="12" t="n"/>
      <c r="P790" s="11" t="n"/>
      <c r="Q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11" t="n"/>
      <c r="L791" s="11" t="n"/>
      <c r="M791" s="11" t="n"/>
      <c r="N791" s="11" t="n"/>
      <c r="O791" s="12" t="n"/>
      <c r="P791" s="11" t="n"/>
      <c r="Q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11" t="n"/>
      <c r="L792" s="11" t="n"/>
      <c r="M792" s="11" t="n"/>
      <c r="N792" s="11" t="n"/>
      <c r="O792" s="12" t="n"/>
      <c r="P792" s="11" t="n"/>
      <c r="Q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11" t="n"/>
      <c r="L793" s="11" t="n"/>
      <c r="M793" s="11" t="n"/>
      <c r="N793" s="11" t="n"/>
      <c r="O793" s="12" t="n"/>
      <c r="P793" s="11" t="n"/>
      <c r="Q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11" t="n"/>
      <c r="L794" s="11" t="n"/>
      <c r="M794" s="11" t="n"/>
      <c r="N794" s="11" t="n"/>
      <c r="O794" s="12" t="n"/>
      <c r="P794" s="11" t="n"/>
      <c r="Q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11" t="n"/>
      <c r="L795" s="11" t="n"/>
      <c r="M795" s="11" t="n"/>
      <c r="N795" s="11" t="n"/>
      <c r="O795" s="12" t="n"/>
      <c r="P795" s="11" t="n"/>
      <c r="Q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11" t="n"/>
      <c r="L796" s="11" t="n"/>
      <c r="M796" s="11" t="n"/>
      <c r="N796" s="11" t="n"/>
      <c r="O796" s="12" t="n"/>
      <c r="P796" s="11" t="n"/>
      <c r="Q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11" t="n"/>
      <c r="L797" s="11" t="n"/>
      <c r="M797" s="11" t="n"/>
      <c r="N797" s="11" t="n"/>
      <c r="O797" s="12" t="n"/>
      <c r="P797" s="11" t="n"/>
      <c r="Q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11" t="n"/>
      <c r="L798" s="11" t="n"/>
      <c r="M798" s="11" t="n"/>
      <c r="N798" s="11" t="n"/>
      <c r="O798" s="12" t="n"/>
      <c r="P798" s="11" t="n"/>
      <c r="Q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11" t="n"/>
      <c r="L799" s="11" t="n"/>
      <c r="M799" s="11" t="n"/>
      <c r="N799" s="11" t="n"/>
      <c r="O799" s="12" t="n"/>
      <c r="P799" s="11" t="n"/>
      <c r="Q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11" t="n"/>
      <c r="L800" s="11" t="n"/>
      <c r="M800" s="11" t="n"/>
      <c r="N800" s="11" t="n"/>
      <c r="O800" s="12" t="n"/>
      <c r="P800" s="11" t="n"/>
      <c r="Q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11" t="n"/>
      <c r="L801" s="11" t="n"/>
      <c r="M801" s="11" t="n"/>
      <c r="N801" s="11" t="n"/>
      <c r="O801" s="12" t="n"/>
      <c r="P801" s="11" t="n"/>
      <c r="Q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11" t="n"/>
      <c r="L802" s="11" t="n"/>
      <c r="M802" s="11" t="n"/>
      <c r="N802" s="11" t="n"/>
      <c r="O802" s="12" t="n"/>
      <c r="P802" s="11" t="n"/>
      <c r="Q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11" t="n"/>
      <c r="L803" s="11" t="n"/>
      <c r="M803" s="11" t="n"/>
      <c r="N803" s="11" t="n"/>
      <c r="O803" s="12" t="n"/>
      <c r="P803" s="11" t="n"/>
      <c r="Q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11" t="n"/>
      <c r="L804" s="11" t="n"/>
      <c r="M804" s="11" t="n"/>
      <c r="N804" s="11" t="n"/>
      <c r="O804" s="12" t="n"/>
      <c r="P804" s="11" t="n"/>
      <c r="Q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11" t="n"/>
      <c r="L805" s="11" t="n"/>
      <c r="M805" s="11" t="n"/>
      <c r="N805" s="11" t="n"/>
      <c r="O805" s="12" t="n"/>
      <c r="P805" s="11" t="n"/>
      <c r="Q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11" t="n"/>
      <c r="L806" s="11" t="n"/>
      <c r="M806" s="11" t="n"/>
      <c r="N806" s="11" t="n"/>
      <c r="O806" s="12" t="n"/>
      <c r="P806" s="11" t="n"/>
      <c r="Q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11" t="n"/>
      <c r="L807" s="11" t="n"/>
      <c r="M807" s="11" t="n"/>
      <c r="N807" s="11" t="n"/>
      <c r="O807" s="12" t="n"/>
      <c r="P807" s="11" t="n"/>
      <c r="Q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11" t="n"/>
      <c r="L808" s="11" t="n"/>
      <c r="M808" s="11" t="n"/>
      <c r="N808" s="11" t="n"/>
      <c r="O808" s="12" t="n"/>
      <c r="P808" s="11" t="n"/>
      <c r="Q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11" t="n"/>
      <c r="L809" s="11" t="n"/>
      <c r="M809" s="11" t="n"/>
      <c r="N809" s="11" t="n"/>
      <c r="O809" s="12" t="n"/>
      <c r="P809" s="11" t="n"/>
      <c r="Q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11" t="n"/>
      <c r="L810" s="11" t="n"/>
      <c r="M810" s="11" t="n"/>
      <c r="N810" s="11" t="n"/>
      <c r="O810" s="12" t="n"/>
      <c r="P810" s="11" t="n"/>
      <c r="Q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11" t="n"/>
      <c r="L811" s="11" t="n"/>
      <c r="M811" s="11" t="n"/>
      <c r="N811" s="11" t="n"/>
      <c r="O811" s="12" t="n"/>
      <c r="P811" s="11" t="n"/>
      <c r="Q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11" t="n"/>
      <c r="L812" s="11" t="n"/>
      <c r="M812" s="11" t="n"/>
      <c r="N812" s="11" t="n"/>
      <c r="O812" s="12" t="n"/>
      <c r="P812" s="11" t="n"/>
      <c r="Q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11" t="n"/>
      <c r="L813" s="11" t="n"/>
      <c r="M813" s="11" t="n"/>
      <c r="N813" s="11" t="n"/>
      <c r="O813" s="12" t="n"/>
      <c r="P813" s="11" t="n"/>
      <c r="Q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11" t="n"/>
      <c r="L814" s="11" t="n"/>
      <c r="M814" s="11" t="n"/>
      <c r="N814" s="11" t="n"/>
      <c r="O814" s="12" t="n"/>
      <c r="P814" s="11" t="n"/>
      <c r="Q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11" t="n"/>
      <c r="L815" s="11" t="n"/>
      <c r="M815" s="11" t="n"/>
      <c r="N815" s="11" t="n"/>
      <c r="O815" s="12" t="n"/>
      <c r="P815" s="11" t="n"/>
      <c r="Q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11" t="n"/>
      <c r="L816" s="11" t="n"/>
      <c r="M816" s="11" t="n"/>
      <c r="N816" s="11" t="n"/>
      <c r="O816" s="12" t="n"/>
      <c r="P816" s="11" t="n"/>
      <c r="Q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11" t="n"/>
      <c r="L817" s="11" t="n"/>
      <c r="M817" s="11" t="n"/>
      <c r="N817" s="11" t="n"/>
      <c r="O817" s="12" t="n"/>
      <c r="P817" s="11" t="n"/>
      <c r="Q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11" t="n"/>
      <c r="L818" s="11" t="n"/>
      <c r="M818" s="11" t="n"/>
      <c r="N818" s="11" t="n"/>
      <c r="O818" s="12" t="n"/>
      <c r="P818" s="11" t="n"/>
      <c r="Q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11" t="n"/>
      <c r="L819" s="11" t="n"/>
      <c r="M819" s="11" t="n"/>
      <c r="N819" s="11" t="n"/>
      <c r="O819" s="12" t="n"/>
      <c r="P819" s="11" t="n"/>
      <c r="Q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11" t="n"/>
      <c r="L820" s="11" t="n"/>
      <c r="M820" s="11" t="n"/>
      <c r="N820" s="11" t="n"/>
      <c r="O820" s="12" t="n"/>
      <c r="P820" s="11" t="n"/>
      <c r="Q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11" t="n"/>
      <c r="L821" s="11" t="n"/>
      <c r="M821" s="11" t="n"/>
      <c r="N821" s="11" t="n"/>
      <c r="O821" s="12" t="n"/>
      <c r="P821" s="11" t="n"/>
      <c r="Q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11" t="n"/>
      <c r="L822" s="11" t="n"/>
      <c r="M822" s="11" t="n"/>
      <c r="N822" s="11" t="n"/>
      <c r="O822" s="12" t="n"/>
      <c r="P822" s="11" t="n"/>
      <c r="Q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11" t="n"/>
      <c r="L823" s="11" t="n"/>
      <c r="M823" s="11" t="n"/>
      <c r="N823" s="11" t="n"/>
      <c r="O823" s="12" t="n"/>
      <c r="P823" s="11" t="n"/>
      <c r="Q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11" t="n"/>
      <c r="L824" s="11" t="n"/>
      <c r="M824" s="11" t="n"/>
      <c r="N824" s="11" t="n"/>
      <c r="O824" s="12" t="n"/>
      <c r="P824" s="11" t="n"/>
      <c r="Q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11" t="n"/>
      <c r="L825" s="11" t="n"/>
      <c r="M825" s="11" t="n"/>
      <c r="N825" s="11" t="n"/>
      <c r="O825" s="12" t="n"/>
      <c r="P825" s="11" t="n"/>
      <c r="Q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11" t="n"/>
      <c r="L826" s="11" t="n"/>
      <c r="M826" s="11" t="n"/>
      <c r="N826" s="11" t="n"/>
      <c r="O826" s="12" t="n"/>
      <c r="P826" s="11" t="n"/>
      <c r="Q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11" t="n"/>
      <c r="L827" s="11" t="n"/>
      <c r="M827" s="11" t="n"/>
      <c r="N827" s="11" t="n"/>
      <c r="O827" s="12" t="n"/>
      <c r="P827" s="11" t="n"/>
      <c r="Q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11" t="n"/>
      <c r="L828" s="11" t="n"/>
      <c r="M828" s="11" t="n"/>
      <c r="N828" s="11" t="n"/>
      <c r="O828" s="12" t="n"/>
      <c r="P828" s="11" t="n"/>
      <c r="Q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11" t="n"/>
      <c r="L829" s="11" t="n"/>
      <c r="M829" s="11" t="n"/>
      <c r="N829" s="11" t="n"/>
      <c r="O829" s="12" t="n"/>
      <c r="P829" s="11" t="n"/>
      <c r="Q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11" t="n"/>
      <c r="L830" s="11" t="n"/>
      <c r="M830" s="11" t="n"/>
      <c r="N830" s="11" t="n"/>
      <c r="O830" s="12" t="n"/>
      <c r="P830" s="11" t="n"/>
      <c r="Q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11" t="n"/>
      <c r="L831" s="11" t="n"/>
      <c r="M831" s="11" t="n"/>
      <c r="N831" s="11" t="n"/>
      <c r="O831" s="12" t="n"/>
      <c r="P831" s="11" t="n"/>
      <c r="Q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11" t="n"/>
      <c r="L832" s="11" t="n"/>
      <c r="M832" s="11" t="n"/>
      <c r="N832" s="11" t="n"/>
      <c r="O832" s="12" t="n"/>
      <c r="P832" s="11" t="n"/>
      <c r="Q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11" t="n"/>
      <c r="L833" s="11" t="n"/>
      <c r="M833" s="11" t="n"/>
      <c r="N833" s="11" t="n"/>
      <c r="O833" s="12" t="n"/>
      <c r="P833" s="11" t="n"/>
      <c r="Q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11" t="n"/>
      <c r="L834" s="11" t="n"/>
      <c r="M834" s="11" t="n"/>
      <c r="N834" s="11" t="n"/>
      <c r="O834" s="12" t="n"/>
      <c r="P834" s="11" t="n"/>
      <c r="Q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11" t="n"/>
      <c r="L835" s="11" t="n"/>
      <c r="M835" s="11" t="n"/>
      <c r="N835" s="11" t="n"/>
      <c r="O835" s="12" t="n"/>
      <c r="P835" s="11" t="n"/>
      <c r="Q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11" t="n"/>
      <c r="L836" s="11" t="n"/>
      <c r="M836" s="11" t="n"/>
      <c r="N836" s="11" t="n"/>
      <c r="O836" s="12" t="n"/>
      <c r="P836" s="11" t="n"/>
      <c r="Q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11" t="n"/>
      <c r="L837" s="11" t="n"/>
      <c r="M837" s="11" t="n"/>
      <c r="N837" s="11" t="n"/>
      <c r="O837" s="12" t="n"/>
      <c r="P837" s="11" t="n"/>
      <c r="Q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11" t="n"/>
      <c r="L838" s="11" t="n"/>
      <c r="M838" s="11" t="n"/>
      <c r="N838" s="11" t="n"/>
      <c r="O838" s="12" t="n"/>
      <c r="P838" s="11" t="n"/>
      <c r="Q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11" t="n"/>
      <c r="L839" s="11" t="n"/>
      <c r="M839" s="11" t="n"/>
      <c r="N839" s="11" t="n"/>
      <c r="O839" s="12" t="n"/>
      <c r="P839" s="11" t="n"/>
      <c r="Q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11" t="n"/>
      <c r="L840" s="11" t="n"/>
      <c r="M840" s="11" t="n"/>
      <c r="N840" s="11" t="n"/>
      <c r="O840" s="12" t="n"/>
      <c r="P840" s="11" t="n"/>
      <c r="Q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11" t="n"/>
      <c r="L841" s="11" t="n"/>
      <c r="M841" s="11" t="n"/>
      <c r="N841" s="11" t="n"/>
      <c r="O841" s="12" t="n"/>
      <c r="P841" s="11" t="n"/>
      <c r="Q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11" t="n"/>
      <c r="L842" s="11" t="n"/>
      <c r="M842" s="11" t="n"/>
      <c r="N842" s="11" t="n"/>
      <c r="O842" s="12" t="n"/>
      <c r="P842" s="11" t="n"/>
      <c r="Q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11" t="n"/>
      <c r="L843" s="11" t="n"/>
      <c r="M843" s="11" t="n"/>
      <c r="N843" s="11" t="n"/>
      <c r="O843" s="12" t="n"/>
      <c r="P843" s="11" t="n"/>
      <c r="Q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11" t="n"/>
      <c r="L844" s="11" t="n"/>
      <c r="M844" s="11" t="n"/>
      <c r="N844" s="11" t="n"/>
      <c r="O844" s="12" t="n"/>
      <c r="P844" s="11" t="n"/>
      <c r="Q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11" t="n"/>
      <c r="L845" s="11" t="n"/>
      <c r="M845" s="11" t="n"/>
      <c r="N845" s="11" t="n"/>
      <c r="O845" s="12" t="n"/>
      <c r="P845" s="11" t="n"/>
      <c r="Q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11" t="n"/>
      <c r="L846" s="11" t="n"/>
      <c r="M846" s="11" t="n"/>
      <c r="N846" s="11" t="n"/>
      <c r="O846" s="12" t="n"/>
      <c r="P846" s="11" t="n"/>
      <c r="Q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11" t="n"/>
      <c r="L847" s="11" t="n"/>
      <c r="M847" s="11" t="n"/>
      <c r="N847" s="11" t="n"/>
      <c r="O847" s="12" t="n"/>
      <c r="P847" s="11" t="n"/>
      <c r="Q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11" t="n"/>
      <c r="L848" s="11" t="n"/>
      <c r="M848" s="11" t="n"/>
      <c r="N848" s="11" t="n"/>
      <c r="O848" s="12" t="n"/>
      <c r="P848" s="11" t="n"/>
      <c r="Q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11" t="n"/>
      <c r="L849" s="11" t="n"/>
      <c r="M849" s="11" t="n"/>
      <c r="N849" s="11" t="n"/>
      <c r="O849" s="12" t="n"/>
      <c r="P849" s="11" t="n"/>
      <c r="Q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11" t="n"/>
      <c r="L850" s="11" t="n"/>
      <c r="M850" s="11" t="n"/>
      <c r="N850" s="11" t="n"/>
      <c r="O850" s="12" t="n"/>
      <c r="P850" s="11" t="n"/>
      <c r="Q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11" t="n"/>
      <c r="L851" s="11" t="n"/>
      <c r="M851" s="11" t="n"/>
      <c r="N851" s="11" t="n"/>
      <c r="O851" s="12" t="n"/>
      <c r="P851" s="11" t="n"/>
      <c r="Q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11" t="n"/>
      <c r="L852" s="11" t="n"/>
      <c r="M852" s="11" t="n"/>
      <c r="N852" s="11" t="n"/>
      <c r="O852" s="12" t="n"/>
      <c r="P852" s="11" t="n"/>
      <c r="Q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11" t="n"/>
      <c r="L853" s="11" t="n"/>
      <c r="M853" s="11" t="n"/>
      <c r="N853" s="11" t="n"/>
      <c r="O853" s="12" t="n"/>
      <c r="P853" s="11" t="n"/>
      <c r="Q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11" t="n"/>
      <c r="L854" s="11" t="n"/>
      <c r="M854" s="11" t="n"/>
      <c r="N854" s="11" t="n"/>
      <c r="O854" s="12" t="n"/>
      <c r="P854" s="11" t="n"/>
      <c r="Q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11" t="n"/>
      <c r="L855" s="11" t="n"/>
      <c r="M855" s="11" t="n"/>
      <c r="N855" s="11" t="n"/>
      <c r="O855" s="12" t="n"/>
      <c r="P855" s="11" t="n"/>
      <c r="Q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11" t="n"/>
      <c r="L856" s="11" t="n"/>
      <c r="M856" s="11" t="n"/>
      <c r="N856" s="11" t="n"/>
      <c r="O856" s="12" t="n"/>
      <c r="P856" s="11" t="n"/>
      <c r="Q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11" t="n"/>
      <c r="L857" s="11" t="n"/>
      <c r="M857" s="11" t="n"/>
      <c r="N857" s="11" t="n"/>
      <c r="O857" s="12" t="n"/>
      <c r="P857" s="11" t="n"/>
      <c r="Q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11" t="n"/>
      <c r="L858" s="11" t="n"/>
      <c r="M858" s="11" t="n"/>
      <c r="N858" s="11" t="n"/>
      <c r="O858" s="12" t="n"/>
      <c r="P858" s="11" t="n"/>
      <c r="Q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11" t="n"/>
      <c r="L859" s="11" t="n"/>
      <c r="M859" s="11" t="n"/>
      <c r="N859" s="11" t="n"/>
      <c r="O859" s="12" t="n"/>
      <c r="P859" s="11" t="n"/>
      <c r="Q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11" t="n"/>
      <c r="L860" s="11" t="n"/>
      <c r="M860" s="11" t="n"/>
      <c r="N860" s="11" t="n"/>
      <c r="O860" s="12" t="n"/>
      <c r="P860" s="11" t="n"/>
      <c r="Q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11" t="n"/>
      <c r="L861" s="11" t="n"/>
      <c r="M861" s="11" t="n"/>
      <c r="N861" s="11" t="n"/>
      <c r="O861" s="12" t="n"/>
      <c r="P861" s="11" t="n"/>
      <c r="Q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11" t="n"/>
      <c r="L862" s="11" t="n"/>
      <c r="M862" s="11" t="n"/>
      <c r="N862" s="11" t="n"/>
      <c r="O862" s="12" t="n"/>
      <c r="P862" s="11" t="n"/>
      <c r="Q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11" t="n"/>
      <c r="L863" s="11" t="n"/>
      <c r="M863" s="11" t="n"/>
      <c r="N863" s="11" t="n"/>
      <c r="O863" s="12" t="n"/>
      <c r="P863" s="11" t="n"/>
      <c r="Q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11" t="n"/>
      <c r="L864" s="11" t="n"/>
      <c r="M864" s="11" t="n"/>
      <c r="N864" s="11" t="n"/>
      <c r="O864" s="12" t="n"/>
      <c r="P864" s="11" t="n"/>
      <c r="Q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11" t="n"/>
      <c r="L865" s="11" t="n"/>
      <c r="M865" s="11" t="n"/>
      <c r="N865" s="11" t="n"/>
      <c r="O865" s="12" t="n"/>
      <c r="P865" s="11" t="n"/>
      <c r="Q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11" t="n"/>
      <c r="L866" s="11" t="n"/>
      <c r="M866" s="11" t="n"/>
      <c r="N866" s="11" t="n"/>
      <c r="O866" s="12" t="n"/>
      <c r="P866" s="11" t="n"/>
      <c r="Q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11" t="n"/>
      <c r="L867" s="11" t="n"/>
      <c r="M867" s="11" t="n"/>
      <c r="N867" s="11" t="n"/>
      <c r="O867" s="12" t="n"/>
      <c r="P867" s="11" t="n"/>
      <c r="Q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11" t="n"/>
      <c r="L868" s="11" t="n"/>
      <c r="M868" s="11" t="n"/>
      <c r="N868" s="11" t="n"/>
      <c r="O868" s="12" t="n"/>
      <c r="P868" s="11" t="n"/>
      <c r="Q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11" t="n"/>
      <c r="L869" s="11" t="n"/>
      <c r="M869" s="11" t="n"/>
      <c r="N869" s="11" t="n"/>
      <c r="O869" s="12" t="n"/>
      <c r="P869" s="11" t="n"/>
      <c r="Q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11" t="n"/>
      <c r="L870" s="11" t="n"/>
      <c r="M870" s="11" t="n"/>
      <c r="N870" s="11" t="n"/>
      <c r="O870" s="12" t="n"/>
      <c r="P870" s="11" t="n"/>
      <c r="Q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11" t="n"/>
      <c r="L871" s="11" t="n"/>
      <c r="M871" s="11" t="n"/>
      <c r="N871" s="11" t="n"/>
      <c r="O871" s="12" t="n"/>
      <c r="P871" s="11" t="n"/>
      <c r="Q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11" t="n"/>
      <c r="L872" s="11" t="n"/>
      <c r="M872" s="11" t="n"/>
      <c r="N872" s="11" t="n"/>
      <c r="O872" s="12" t="n"/>
      <c r="P872" s="11" t="n"/>
      <c r="Q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11" t="n"/>
      <c r="L873" s="11" t="n"/>
      <c r="M873" s="11" t="n"/>
      <c r="N873" s="11" t="n"/>
      <c r="O873" s="12" t="n"/>
      <c r="P873" s="11" t="n"/>
      <c r="Q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11" t="n"/>
      <c r="L874" s="11" t="n"/>
      <c r="M874" s="11" t="n"/>
      <c r="N874" s="11" t="n"/>
      <c r="O874" s="12" t="n"/>
      <c r="P874" s="11" t="n"/>
      <c r="Q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11" t="n"/>
      <c r="L875" s="11" t="n"/>
      <c r="M875" s="11" t="n"/>
      <c r="N875" s="11" t="n"/>
      <c r="O875" s="12" t="n"/>
      <c r="P875" s="11" t="n"/>
      <c r="Q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11" t="n"/>
      <c r="L876" s="11" t="n"/>
      <c r="M876" s="11" t="n"/>
      <c r="N876" s="11" t="n"/>
      <c r="O876" s="12" t="n"/>
      <c r="P876" s="11" t="n"/>
      <c r="Q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11" t="n"/>
      <c r="L877" s="11" t="n"/>
      <c r="M877" s="11" t="n"/>
      <c r="N877" s="11" t="n"/>
      <c r="O877" s="12" t="n"/>
      <c r="P877" s="11" t="n"/>
      <c r="Q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11" t="n"/>
      <c r="L878" s="11" t="n"/>
      <c r="M878" s="11" t="n"/>
      <c r="N878" s="11" t="n"/>
      <c r="O878" s="12" t="n"/>
      <c r="P878" s="11" t="n"/>
      <c r="Q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11" t="n"/>
      <c r="L879" s="11" t="n"/>
      <c r="M879" s="11" t="n"/>
      <c r="N879" s="11" t="n"/>
      <c r="O879" s="12" t="n"/>
      <c r="P879" s="11" t="n"/>
      <c r="Q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11" t="n"/>
      <c r="L880" s="11" t="n"/>
      <c r="M880" s="11" t="n"/>
      <c r="N880" s="11" t="n"/>
      <c r="O880" s="12" t="n"/>
      <c r="P880" s="11" t="n"/>
      <c r="Q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11" t="n"/>
      <c r="L881" s="11" t="n"/>
      <c r="M881" s="11" t="n"/>
      <c r="N881" s="11" t="n"/>
      <c r="O881" s="12" t="n"/>
      <c r="P881" s="11" t="n"/>
      <c r="Q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11" t="n"/>
      <c r="L882" s="11" t="n"/>
      <c r="M882" s="11" t="n"/>
      <c r="N882" s="11" t="n"/>
      <c r="O882" s="12" t="n"/>
      <c r="P882" s="11" t="n"/>
      <c r="Q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11" t="n"/>
      <c r="L883" s="11" t="n"/>
      <c r="M883" s="11" t="n"/>
      <c r="N883" s="11" t="n"/>
      <c r="O883" s="12" t="n"/>
      <c r="P883" s="11" t="n"/>
      <c r="Q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11" t="n"/>
      <c r="L884" s="11" t="n"/>
      <c r="M884" s="11" t="n"/>
      <c r="N884" s="11" t="n"/>
      <c r="O884" s="12" t="n"/>
      <c r="P884" s="11" t="n"/>
      <c r="Q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11" t="n"/>
      <c r="L885" s="11" t="n"/>
      <c r="M885" s="11" t="n"/>
      <c r="N885" s="11" t="n"/>
      <c r="O885" s="12" t="n"/>
      <c r="P885" s="11" t="n"/>
      <c r="Q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11" t="n"/>
      <c r="L886" s="11" t="n"/>
      <c r="M886" s="11" t="n"/>
      <c r="N886" s="11" t="n"/>
      <c r="O886" s="12" t="n"/>
      <c r="P886" s="11" t="n"/>
      <c r="Q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11" t="n"/>
      <c r="L887" s="11" t="n"/>
      <c r="M887" s="11" t="n"/>
      <c r="N887" s="11" t="n"/>
      <c r="O887" s="12" t="n"/>
      <c r="P887" s="11" t="n"/>
      <c r="Q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11" t="n"/>
      <c r="L888" s="11" t="n"/>
      <c r="M888" s="11" t="n"/>
      <c r="N888" s="11" t="n"/>
      <c r="O888" s="12" t="n"/>
      <c r="P888" s="11" t="n"/>
      <c r="Q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11" t="n"/>
      <c r="L889" s="11" t="n"/>
      <c r="M889" s="11" t="n"/>
      <c r="N889" s="11" t="n"/>
      <c r="O889" s="12" t="n"/>
      <c r="P889" s="11" t="n"/>
      <c r="Q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11" t="n"/>
      <c r="L890" s="11" t="n"/>
      <c r="M890" s="11" t="n"/>
      <c r="N890" s="11" t="n"/>
      <c r="O890" s="12" t="n"/>
      <c r="P890" s="11" t="n"/>
      <c r="Q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11" t="n"/>
      <c r="L891" s="11" t="n"/>
      <c r="M891" s="11" t="n"/>
      <c r="N891" s="11" t="n"/>
      <c r="O891" s="12" t="n"/>
      <c r="P891" s="11" t="n"/>
      <c r="Q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11" t="n"/>
      <c r="L892" s="11" t="n"/>
      <c r="M892" s="11" t="n"/>
      <c r="N892" s="11" t="n"/>
      <c r="O892" s="12" t="n"/>
      <c r="P892" s="11" t="n"/>
      <c r="Q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11" t="n"/>
      <c r="L893" s="11" t="n"/>
      <c r="M893" s="11" t="n"/>
      <c r="N893" s="11" t="n"/>
      <c r="O893" s="12" t="n"/>
      <c r="P893" s="11" t="n"/>
      <c r="Q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11" t="n"/>
      <c r="L894" s="11" t="n"/>
      <c r="M894" s="11" t="n"/>
      <c r="N894" s="11" t="n"/>
      <c r="O894" s="12" t="n"/>
      <c r="P894" s="11" t="n"/>
      <c r="Q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11" t="n"/>
      <c r="L895" s="11" t="n"/>
      <c r="M895" s="11" t="n"/>
      <c r="N895" s="11" t="n"/>
      <c r="O895" s="12" t="n"/>
      <c r="P895" s="11" t="n"/>
      <c r="Q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11" t="n"/>
      <c r="L896" s="11" t="n"/>
      <c r="M896" s="11" t="n"/>
      <c r="N896" s="11" t="n"/>
      <c r="O896" s="12" t="n"/>
      <c r="P896" s="11" t="n"/>
      <c r="Q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11" t="n"/>
      <c r="L897" s="11" t="n"/>
      <c r="M897" s="11" t="n"/>
      <c r="N897" s="11" t="n"/>
      <c r="O897" s="12" t="n"/>
      <c r="P897" s="11" t="n"/>
      <c r="Q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11" t="n"/>
      <c r="L898" s="11" t="n"/>
      <c r="M898" s="11" t="n"/>
      <c r="N898" s="11" t="n"/>
      <c r="O898" s="12" t="n"/>
      <c r="P898" s="11" t="n"/>
      <c r="Q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11" t="n"/>
      <c r="L899" s="11" t="n"/>
      <c r="M899" s="11" t="n"/>
      <c r="N899" s="11" t="n"/>
      <c r="O899" s="12" t="n"/>
      <c r="P899" s="11" t="n"/>
      <c r="Q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11" t="n"/>
      <c r="L900" s="11" t="n"/>
      <c r="M900" s="11" t="n"/>
      <c r="N900" s="11" t="n"/>
      <c r="O900" s="12" t="n"/>
      <c r="P900" s="11" t="n"/>
      <c r="Q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11" t="n"/>
      <c r="L901" s="11" t="n"/>
      <c r="M901" s="11" t="n"/>
      <c r="N901" s="11" t="n"/>
      <c r="O901" s="12" t="n"/>
      <c r="P901" s="11" t="n"/>
      <c r="Q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11" t="n"/>
      <c r="L902" s="11" t="n"/>
      <c r="M902" s="11" t="n"/>
      <c r="N902" s="11" t="n"/>
      <c r="O902" s="12" t="n"/>
      <c r="P902" s="11" t="n"/>
      <c r="Q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11" t="n"/>
      <c r="L903" s="11" t="n"/>
      <c r="M903" s="11" t="n"/>
      <c r="N903" s="11" t="n"/>
      <c r="O903" s="12" t="n"/>
      <c r="P903" s="11" t="n"/>
      <c r="Q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11" t="n"/>
      <c r="L904" s="11" t="n"/>
      <c r="M904" s="11" t="n"/>
      <c r="N904" s="11" t="n"/>
      <c r="O904" s="12" t="n"/>
      <c r="P904" s="11" t="n"/>
      <c r="Q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11" t="n"/>
      <c r="L905" s="11" t="n"/>
      <c r="M905" s="11" t="n"/>
      <c r="N905" s="11" t="n"/>
      <c r="O905" s="12" t="n"/>
      <c r="P905" s="11" t="n"/>
      <c r="Q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11" t="n"/>
      <c r="L906" s="11" t="n"/>
      <c r="M906" s="11" t="n"/>
      <c r="N906" s="11" t="n"/>
      <c r="O906" s="12" t="n"/>
      <c r="P906" s="11" t="n"/>
      <c r="Q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11" t="n"/>
      <c r="L907" s="11" t="n"/>
      <c r="M907" s="11" t="n"/>
      <c r="N907" s="11" t="n"/>
      <c r="O907" s="12" t="n"/>
      <c r="P907" s="11" t="n"/>
      <c r="Q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11" t="n"/>
      <c r="L908" s="11" t="n"/>
      <c r="M908" s="11" t="n"/>
      <c r="N908" s="11" t="n"/>
      <c r="O908" s="12" t="n"/>
      <c r="P908" s="11" t="n"/>
      <c r="Q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11" t="n"/>
      <c r="L909" s="11" t="n"/>
      <c r="M909" s="11" t="n"/>
      <c r="N909" s="11" t="n"/>
      <c r="O909" s="12" t="n"/>
      <c r="P909" s="11" t="n"/>
      <c r="Q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11" t="n"/>
      <c r="L910" s="11" t="n"/>
      <c r="M910" s="11" t="n"/>
      <c r="N910" s="11" t="n"/>
      <c r="O910" s="12" t="n"/>
      <c r="P910" s="11" t="n"/>
      <c r="Q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11" t="n"/>
      <c r="L911" s="11" t="n"/>
      <c r="M911" s="11" t="n"/>
      <c r="N911" s="11" t="n"/>
      <c r="O911" s="12" t="n"/>
      <c r="P911" s="11" t="n"/>
      <c r="Q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11" t="n"/>
      <c r="L912" s="11" t="n"/>
      <c r="M912" s="11" t="n"/>
      <c r="N912" s="11" t="n"/>
      <c r="O912" s="12" t="n"/>
      <c r="P912" s="11" t="n"/>
      <c r="Q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11" t="n"/>
      <c r="L913" s="11" t="n"/>
      <c r="M913" s="11" t="n"/>
      <c r="N913" s="11" t="n"/>
      <c r="O913" s="12" t="n"/>
      <c r="P913" s="11" t="n"/>
      <c r="Q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11" t="n"/>
      <c r="L914" s="11" t="n"/>
      <c r="M914" s="11" t="n"/>
      <c r="N914" s="11" t="n"/>
      <c r="O914" s="12" t="n"/>
      <c r="P914" s="11" t="n"/>
      <c r="Q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11" t="n"/>
      <c r="L915" s="11" t="n"/>
      <c r="M915" s="11" t="n"/>
      <c r="N915" s="11" t="n"/>
      <c r="O915" s="12" t="n"/>
      <c r="P915" s="11" t="n"/>
      <c r="Q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11" t="n"/>
      <c r="L916" s="11" t="n"/>
      <c r="M916" s="11" t="n"/>
      <c r="N916" s="11" t="n"/>
      <c r="O916" s="12" t="n"/>
      <c r="P916" s="11" t="n"/>
      <c r="Q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11" t="n"/>
      <c r="L917" s="11" t="n"/>
      <c r="M917" s="11" t="n"/>
      <c r="N917" s="11" t="n"/>
      <c r="O917" s="12" t="n"/>
      <c r="P917" s="11" t="n"/>
      <c r="Q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11" t="n"/>
      <c r="L918" s="11" t="n"/>
      <c r="M918" s="11" t="n"/>
      <c r="N918" s="11" t="n"/>
      <c r="O918" s="12" t="n"/>
      <c r="P918" s="11" t="n"/>
      <c r="Q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11" t="n"/>
      <c r="L919" s="11" t="n"/>
      <c r="M919" s="11" t="n"/>
      <c r="N919" s="11" t="n"/>
      <c r="O919" s="12" t="n"/>
      <c r="P919" s="11" t="n"/>
      <c r="Q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11" t="n"/>
      <c r="L920" s="11" t="n"/>
      <c r="M920" s="11" t="n"/>
      <c r="N920" s="11" t="n"/>
      <c r="O920" s="12" t="n"/>
      <c r="P920" s="11" t="n"/>
      <c r="Q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11" t="n"/>
      <c r="L921" s="11" t="n"/>
      <c r="M921" s="11" t="n"/>
      <c r="N921" s="11" t="n"/>
      <c r="O921" s="12" t="n"/>
      <c r="P921" s="11" t="n"/>
      <c r="Q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11" t="n"/>
      <c r="L922" s="11" t="n"/>
      <c r="M922" s="11" t="n"/>
      <c r="N922" s="11" t="n"/>
      <c r="O922" s="12" t="n"/>
      <c r="P922" s="11" t="n"/>
      <c r="Q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11" t="n"/>
      <c r="L923" s="11" t="n"/>
      <c r="M923" s="11" t="n"/>
      <c r="N923" s="11" t="n"/>
      <c r="O923" s="12" t="n"/>
      <c r="P923" s="11" t="n"/>
      <c r="Q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11" t="n"/>
      <c r="L924" s="11" t="n"/>
      <c r="M924" s="11" t="n"/>
      <c r="N924" s="11" t="n"/>
      <c r="O924" s="12" t="n"/>
      <c r="P924" s="11" t="n"/>
      <c r="Q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11" t="n"/>
      <c r="L925" s="11" t="n"/>
      <c r="M925" s="11" t="n"/>
      <c r="N925" s="11" t="n"/>
      <c r="O925" s="12" t="n"/>
      <c r="P925" s="11" t="n"/>
      <c r="Q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11" t="n"/>
      <c r="L926" s="11" t="n"/>
      <c r="M926" s="11" t="n"/>
      <c r="N926" s="11" t="n"/>
      <c r="O926" s="12" t="n"/>
      <c r="P926" s="11" t="n"/>
      <c r="Q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11" t="n"/>
      <c r="L927" s="11" t="n"/>
      <c r="M927" s="11" t="n"/>
      <c r="N927" s="11" t="n"/>
      <c r="O927" s="12" t="n"/>
      <c r="P927" s="11" t="n"/>
      <c r="Q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11" t="n"/>
      <c r="L928" s="11" t="n"/>
      <c r="M928" s="11" t="n"/>
      <c r="N928" s="11" t="n"/>
      <c r="O928" s="12" t="n"/>
      <c r="P928" s="11" t="n"/>
      <c r="Q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11" t="n"/>
      <c r="L929" s="11" t="n"/>
      <c r="M929" s="11" t="n"/>
      <c r="N929" s="11" t="n"/>
      <c r="O929" s="12" t="n"/>
      <c r="P929" s="11" t="n"/>
      <c r="Q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11" t="n"/>
      <c r="L930" s="11" t="n"/>
      <c r="M930" s="11" t="n"/>
      <c r="N930" s="11" t="n"/>
      <c r="O930" s="12" t="n"/>
      <c r="P930" s="11" t="n"/>
      <c r="Q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11" t="n"/>
      <c r="L931" s="11" t="n"/>
      <c r="M931" s="11" t="n"/>
      <c r="N931" s="11" t="n"/>
      <c r="O931" s="12" t="n"/>
      <c r="P931" s="11" t="n"/>
      <c r="Q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11" t="n"/>
      <c r="L932" s="11" t="n"/>
      <c r="M932" s="11" t="n"/>
      <c r="N932" s="11" t="n"/>
      <c r="O932" s="12" t="n"/>
      <c r="P932" s="11" t="n"/>
      <c r="Q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11" t="n"/>
      <c r="L933" s="11" t="n"/>
      <c r="M933" s="11" t="n"/>
      <c r="N933" s="11" t="n"/>
      <c r="O933" s="12" t="n"/>
      <c r="P933" s="11" t="n"/>
      <c r="Q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11" t="n"/>
      <c r="L934" s="11" t="n"/>
      <c r="M934" s="11" t="n"/>
      <c r="N934" s="11" t="n"/>
      <c r="O934" s="12" t="n"/>
      <c r="P934" s="11" t="n"/>
      <c r="Q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11" t="n"/>
      <c r="L935" s="11" t="n"/>
      <c r="M935" s="11" t="n"/>
      <c r="N935" s="11" t="n"/>
      <c r="O935" s="12" t="n"/>
      <c r="P935" s="11" t="n"/>
      <c r="Q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11" t="n"/>
      <c r="L936" s="11" t="n"/>
      <c r="M936" s="11" t="n"/>
      <c r="N936" s="11" t="n"/>
      <c r="O936" s="12" t="n"/>
      <c r="P936" s="11" t="n"/>
      <c r="Q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11" t="n"/>
      <c r="L937" s="11" t="n"/>
      <c r="M937" s="11" t="n"/>
      <c r="N937" s="11" t="n"/>
      <c r="O937" s="12" t="n"/>
      <c r="P937" s="11" t="n"/>
      <c r="Q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11" t="n"/>
      <c r="L938" s="11" t="n"/>
      <c r="M938" s="11" t="n"/>
      <c r="N938" s="11" t="n"/>
      <c r="O938" s="12" t="n"/>
      <c r="P938" s="11" t="n"/>
      <c r="Q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11" t="n"/>
      <c r="L939" s="11" t="n"/>
      <c r="M939" s="11" t="n"/>
      <c r="N939" s="11" t="n"/>
      <c r="O939" s="12" t="n"/>
      <c r="P939" s="11" t="n"/>
      <c r="Q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11" t="n"/>
      <c r="L940" s="11" t="n"/>
      <c r="M940" s="11" t="n"/>
      <c r="N940" s="11" t="n"/>
      <c r="O940" s="12" t="n"/>
      <c r="P940" s="11" t="n"/>
      <c r="Q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11" t="n"/>
      <c r="L941" s="11" t="n"/>
      <c r="M941" s="11" t="n"/>
      <c r="N941" s="11" t="n"/>
      <c r="O941" s="12" t="n"/>
      <c r="P941" s="11" t="n"/>
      <c r="Q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11" t="n"/>
      <c r="L942" s="11" t="n"/>
      <c r="M942" s="11" t="n"/>
      <c r="N942" s="11" t="n"/>
      <c r="O942" s="12" t="n"/>
      <c r="P942" s="11" t="n"/>
      <c r="Q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11" t="n"/>
      <c r="L943" s="11" t="n"/>
      <c r="M943" s="11" t="n"/>
      <c r="N943" s="11" t="n"/>
      <c r="O943" s="12" t="n"/>
      <c r="P943" s="11" t="n"/>
      <c r="Q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11" t="n"/>
      <c r="L944" s="11" t="n"/>
      <c r="M944" s="11" t="n"/>
      <c r="N944" s="11" t="n"/>
      <c r="O944" s="12" t="n"/>
      <c r="P944" s="11" t="n"/>
      <c r="Q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11" t="n"/>
      <c r="L945" s="11" t="n"/>
      <c r="M945" s="11" t="n"/>
      <c r="N945" s="11" t="n"/>
      <c r="O945" s="12" t="n"/>
      <c r="P945" s="11" t="n"/>
      <c r="Q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11" t="n"/>
      <c r="L946" s="11" t="n"/>
      <c r="M946" s="11" t="n"/>
      <c r="N946" s="11" t="n"/>
      <c r="O946" s="12" t="n"/>
      <c r="P946" s="11" t="n"/>
      <c r="Q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11" t="n"/>
      <c r="L947" s="11" t="n"/>
      <c r="M947" s="11" t="n"/>
      <c r="N947" s="11" t="n"/>
      <c r="O947" s="12" t="n"/>
      <c r="P947" s="11" t="n"/>
      <c r="Q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11" t="n"/>
      <c r="L948" s="11" t="n"/>
      <c r="M948" s="11" t="n"/>
      <c r="N948" s="11" t="n"/>
      <c r="O948" s="12" t="n"/>
      <c r="P948" s="11" t="n"/>
      <c r="Q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11" t="n"/>
      <c r="L949" s="11" t="n"/>
      <c r="M949" s="11" t="n"/>
      <c r="N949" s="11" t="n"/>
      <c r="O949" s="12" t="n"/>
      <c r="P949" s="11" t="n"/>
      <c r="Q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11" t="n"/>
      <c r="L950" s="11" t="n"/>
      <c r="M950" s="11" t="n"/>
      <c r="N950" s="11" t="n"/>
      <c r="O950" s="12" t="n"/>
      <c r="P950" s="11" t="n"/>
      <c r="Q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11" t="n"/>
      <c r="L951" s="11" t="n"/>
      <c r="M951" s="11" t="n"/>
      <c r="N951" s="11" t="n"/>
      <c r="O951" s="12" t="n"/>
      <c r="P951" s="11" t="n"/>
      <c r="Q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11" t="n"/>
      <c r="L952" s="11" t="n"/>
      <c r="M952" s="11" t="n"/>
      <c r="N952" s="11" t="n"/>
      <c r="O952" s="12" t="n"/>
      <c r="P952" s="11" t="n"/>
      <c r="Q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11" t="n"/>
      <c r="L953" s="11" t="n"/>
      <c r="M953" s="11" t="n"/>
      <c r="N953" s="11" t="n"/>
      <c r="O953" s="12" t="n"/>
      <c r="P953" s="11" t="n"/>
      <c r="Q953" s="9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11" t="n"/>
      <c r="L954" s="11" t="n"/>
      <c r="M954" s="11" t="n"/>
      <c r="N954" s="11" t="n"/>
      <c r="O954" s="12" t="n"/>
      <c r="P954" s="11" t="n"/>
      <c r="Q954" s="9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11" t="n"/>
      <c r="L955" s="11" t="n"/>
      <c r="M955" s="11" t="n"/>
      <c r="N955" s="11" t="n"/>
      <c r="O955" s="12" t="n"/>
      <c r="P955" s="11" t="n"/>
      <c r="Q955" s="9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11" t="n"/>
      <c r="L956" s="11" t="n"/>
      <c r="M956" s="11" t="n"/>
      <c r="N956" s="11" t="n"/>
      <c r="O956" s="12" t="n"/>
      <c r="P956" s="11" t="n"/>
      <c r="Q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11" t="n"/>
      <c r="L957" s="11" t="n"/>
      <c r="M957" s="11" t="n"/>
      <c r="N957" s="11" t="n"/>
      <c r="O957" s="12" t="n"/>
      <c r="P957" s="11" t="n"/>
      <c r="Q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11" t="n"/>
      <c r="L958" s="11" t="n"/>
      <c r="M958" s="11" t="n"/>
      <c r="N958" s="11" t="n"/>
      <c r="O958" s="12" t="n"/>
      <c r="P958" s="11" t="n"/>
      <c r="Q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11" t="n"/>
      <c r="L959" s="11" t="n"/>
      <c r="M959" s="11" t="n"/>
      <c r="N959" s="11" t="n"/>
      <c r="O959" s="12" t="n"/>
      <c r="P959" s="11" t="n"/>
      <c r="Q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11" t="n"/>
      <c r="L960" s="11" t="n"/>
      <c r="M960" s="11" t="n"/>
      <c r="N960" s="11" t="n"/>
      <c r="O960" s="12" t="n"/>
      <c r="P960" s="11" t="n"/>
      <c r="Q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11" t="n"/>
      <c r="L961" s="11" t="n"/>
      <c r="M961" s="11" t="n"/>
      <c r="N961" s="11" t="n"/>
      <c r="O961" s="12" t="n"/>
      <c r="P961" s="11" t="n"/>
      <c r="Q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11" t="n"/>
      <c r="L962" s="11" t="n"/>
      <c r="M962" s="11" t="n"/>
      <c r="N962" s="11" t="n"/>
      <c r="O962" s="12" t="n"/>
      <c r="P962" s="11" t="n"/>
      <c r="Q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11" t="n"/>
      <c r="L963" s="11" t="n"/>
      <c r="M963" s="11" t="n"/>
      <c r="N963" s="11" t="n"/>
      <c r="O963" s="12" t="n"/>
      <c r="P963" s="11" t="n"/>
      <c r="Q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11" t="n"/>
      <c r="L964" s="11" t="n"/>
      <c r="M964" s="11" t="n"/>
      <c r="N964" s="11" t="n"/>
      <c r="O964" s="12" t="n"/>
      <c r="P964" s="11" t="n"/>
      <c r="Q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11" t="n"/>
      <c r="L965" s="11" t="n"/>
      <c r="M965" s="11" t="n"/>
      <c r="N965" s="11" t="n"/>
      <c r="O965" s="12" t="n"/>
      <c r="P965" s="11" t="n"/>
      <c r="Q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11" t="n"/>
      <c r="L966" s="11" t="n"/>
      <c r="M966" s="11" t="n"/>
      <c r="N966" s="11" t="n"/>
      <c r="O966" s="12" t="n"/>
      <c r="P966" s="11" t="n"/>
      <c r="Q966" s="9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11" t="n"/>
      <c r="L967" s="11" t="n"/>
      <c r="M967" s="11" t="n"/>
      <c r="N967" s="11" t="n"/>
      <c r="O967" s="12" t="n"/>
      <c r="P967" s="11" t="n"/>
      <c r="Q967" s="9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11" t="n"/>
      <c r="L968" s="11" t="n"/>
      <c r="M968" s="11" t="n"/>
      <c r="N968" s="11" t="n"/>
      <c r="O968" s="12" t="n"/>
      <c r="P968" s="11" t="n"/>
      <c r="Q968" s="9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11" t="n"/>
      <c r="L969" s="11" t="n"/>
      <c r="M969" s="11" t="n"/>
      <c r="N969" s="11" t="n"/>
      <c r="O969" s="12" t="n"/>
      <c r="P969" s="11" t="n"/>
      <c r="Q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11" t="n"/>
      <c r="L970" s="11" t="n"/>
      <c r="M970" s="11" t="n"/>
      <c r="N970" s="11" t="n"/>
      <c r="O970" s="12" t="n"/>
      <c r="P970" s="11" t="n"/>
      <c r="Q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11" t="n"/>
      <c r="L971" s="11" t="n"/>
      <c r="M971" s="11" t="n"/>
      <c r="N971" s="11" t="n"/>
      <c r="O971" s="12" t="n"/>
      <c r="P971" s="11" t="n"/>
      <c r="Q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11" t="n"/>
      <c r="L972" s="11" t="n"/>
      <c r="M972" s="11" t="n"/>
      <c r="N972" s="11" t="n"/>
      <c r="O972" s="12" t="n"/>
      <c r="P972" s="11" t="n"/>
      <c r="Q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11" t="n"/>
      <c r="L973" s="11" t="n"/>
      <c r="M973" s="11" t="n"/>
      <c r="N973" s="11" t="n"/>
      <c r="O973" s="12" t="n"/>
      <c r="P973" s="11" t="n"/>
      <c r="Q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11" t="n"/>
      <c r="L974" s="11" t="n"/>
      <c r="M974" s="11" t="n"/>
      <c r="N974" s="11" t="n"/>
      <c r="O974" s="12" t="n"/>
      <c r="P974" s="11" t="n"/>
      <c r="Q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11" t="n"/>
      <c r="L975" s="11" t="n"/>
      <c r="M975" s="11" t="n"/>
      <c r="N975" s="11" t="n"/>
      <c r="O975" s="12" t="n"/>
      <c r="P975" s="11" t="n"/>
      <c r="Q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11" t="n"/>
      <c r="L976" s="11" t="n"/>
      <c r="M976" s="11" t="n"/>
      <c r="N976" s="11" t="n"/>
      <c r="O976" s="12" t="n"/>
      <c r="P976" s="11" t="n"/>
      <c r="Q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11" t="n"/>
      <c r="L977" s="11" t="n"/>
      <c r="M977" s="11" t="n"/>
      <c r="N977" s="11" t="n"/>
      <c r="O977" s="12" t="n"/>
      <c r="P977" s="11" t="n"/>
      <c r="Q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11" t="n"/>
      <c r="L978" s="11" t="n"/>
      <c r="M978" s="11" t="n"/>
      <c r="N978" s="11" t="n"/>
      <c r="O978" s="12" t="n"/>
      <c r="P978" s="11" t="n"/>
      <c r="Q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11" t="n"/>
      <c r="L979" s="11" t="n"/>
      <c r="M979" s="11" t="n"/>
      <c r="N979" s="11" t="n"/>
      <c r="O979" s="12" t="n"/>
      <c r="P979" s="11" t="n"/>
      <c r="Q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11" t="n"/>
      <c r="L980" s="11" t="n"/>
      <c r="M980" s="11" t="n"/>
      <c r="N980" s="11" t="n"/>
      <c r="O980" s="12" t="n"/>
      <c r="P980" s="11" t="n"/>
      <c r="Q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11" t="n"/>
      <c r="L981" s="11" t="n"/>
      <c r="M981" s="11" t="n"/>
      <c r="N981" s="11" t="n"/>
      <c r="O981" s="12" t="n"/>
      <c r="P981" s="11" t="n"/>
      <c r="Q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11" t="n"/>
      <c r="L982" s="11" t="n"/>
      <c r="M982" s="11" t="n"/>
      <c r="N982" s="11" t="n"/>
      <c r="O982" s="12" t="n"/>
      <c r="P982" s="11" t="n"/>
      <c r="Q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11" t="n"/>
      <c r="L983" s="11" t="n"/>
      <c r="M983" s="11" t="n"/>
      <c r="N983" s="11" t="n"/>
      <c r="O983" s="12" t="n"/>
      <c r="P983" s="11" t="n"/>
      <c r="Q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11" t="n"/>
      <c r="L984" s="11" t="n"/>
      <c r="M984" s="11" t="n"/>
      <c r="N984" s="11" t="n"/>
      <c r="O984" s="12" t="n"/>
      <c r="P984" s="11" t="n"/>
      <c r="Q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11" t="n"/>
      <c r="L985" s="11" t="n"/>
      <c r="M985" s="11" t="n"/>
      <c r="N985" s="11" t="n"/>
      <c r="O985" s="12" t="n"/>
      <c r="P985" s="11" t="n"/>
      <c r="Q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11" t="n"/>
      <c r="L986" s="11" t="n"/>
      <c r="M986" s="11" t="n"/>
      <c r="N986" s="11" t="n"/>
      <c r="O986" s="12" t="n"/>
      <c r="P986" s="11" t="n"/>
      <c r="Q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11" t="n"/>
      <c r="L987" s="11" t="n"/>
      <c r="M987" s="11" t="n"/>
      <c r="N987" s="11" t="n"/>
      <c r="O987" s="12" t="n"/>
      <c r="P987" s="11" t="n"/>
      <c r="Q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11" t="n"/>
      <c r="L988" s="11" t="n"/>
      <c r="M988" s="11" t="n"/>
      <c r="N988" s="11" t="n"/>
      <c r="O988" s="12" t="n"/>
      <c r="P988" s="11" t="n"/>
      <c r="Q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11" t="n"/>
      <c r="L989" s="11" t="n"/>
      <c r="M989" s="11" t="n"/>
      <c r="N989" s="11" t="n"/>
      <c r="O989" s="12" t="n"/>
      <c r="P989" s="11" t="n"/>
      <c r="Q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11" t="n"/>
      <c r="L990" s="11" t="n"/>
      <c r="M990" s="11" t="n"/>
      <c r="N990" s="11" t="n"/>
      <c r="O990" s="12" t="n"/>
      <c r="P990" s="11" t="n"/>
      <c r="Q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11" t="n"/>
      <c r="L991" s="11" t="n"/>
      <c r="M991" s="11" t="n"/>
      <c r="N991" s="11" t="n"/>
      <c r="O991" s="12" t="n"/>
      <c r="P991" s="11" t="n"/>
      <c r="Q991" s="9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11" t="n"/>
      <c r="L992" s="11" t="n"/>
      <c r="M992" s="11" t="n"/>
      <c r="N992" s="11" t="n"/>
      <c r="O992" s="12" t="n"/>
      <c r="P992" s="11" t="n"/>
      <c r="Q992" s="9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11" t="n"/>
      <c r="L993" s="11" t="n"/>
      <c r="M993" s="11" t="n"/>
      <c r="N993" s="11" t="n"/>
      <c r="O993" s="12" t="n"/>
      <c r="P993" s="11" t="n"/>
      <c r="Q993" s="9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11" t="n"/>
      <c r="L994" s="11" t="n"/>
      <c r="M994" s="11" t="n"/>
      <c r="N994" s="11" t="n"/>
      <c r="O994" s="12" t="n"/>
      <c r="P994" s="11" t="n"/>
      <c r="Q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11" t="n"/>
      <c r="L995" s="11" t="n"/>
      <c r="M995" s="11" t="n"/>
      <c r="N995" s="11" t="n"/>
      <c r="O995" s="12" t="n"/>
      <c r="P995" s="11" t="n"/>
      <c r="Q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11" t="n"/>
      <c r="L996" s="11" t="n"/>
      <c r="M996" s="11" t="n"/>
      <c r="N996" s="11" t="n"/>
      <c r="O996" s="12" t="n"/>
      <c r="P996" s="11" t="n"/>
      <c r="Q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11" t="n"/>
      <c r="L997" s="11" t="n"/>
      <c r="M997" s="11" t="n"/>
      <c r="N997" s="11" t="n"/>
      <c r="O997" s="12" t="n"/>
      <c r="P997" s="11" t="n"/>
      <c r="Q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11" t="n"/>
      <c r="L998" s="11" t="n"/>
      <c r="M998" s="11" t="n"/>
      <c r="N998" s="11" t="n"/>
      <c r="O998" s="12" t="n"/>
      <c r="P998" s="11" t="n"/>
      <c r="Q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11" t="n"/>
      <c r="L999" s="11" t="n"/>
      <c r="M999" s="11" t="n"/>
      <c r="N999" s="11" t="n"/>
      <c r="O999" s="12" t="n"/>
      <c r="P999" s="11" t="n"/>
      <c r="Q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11" t="n"/>
      <c r="L1000" s="11" t="n"/>
      <c r="M1000" s="11" t="n"/>
      <c r="N1000" s="11" t="n"/>
      <c r="O1000" s="12" t="n"/>
      <c r="P1000" s="11" t="n"/>
      <c r="Q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  <c r="H1001" s="9" t="n"/>
      <c r="I1001" s="9" t="n"/>
      <c r="J1001" s="9" t="n"/>
      <c r="K1001" s="11" t="n"/>
      <c r="L1001" s="11" t="n"/>
      <c r="M1001" s="11" t="n"/>
      <c r="N1001" s="11" t="n"/>
      <c r="O1001" s="12" t="n"/>
      <c r="P1001" s="11" t="n"/>
      <c r="Q1001" s="9" t="n"/>
    </row>
  </sheetData>
  <autoFilter ref="A1:Q1001"/>
  <conditionalFormatting sqref="N2:N1001">
    <cfRule type="cellIs" priority="1" operator="equal" dxfId="1">
      <formula>"Passed"</formula>
    </cfRule>
    <cfRule type="cellIs" priority="2" operator="equal" dxfId="0">
      <formula>"Failed"</formula>
    </cfRule>
    <cfRule type="cellIs" priority="3" operator="equal" dxfId="0">
      <formula>"Timed out"</formula>
    </cfRule>
    <cfRule type="cellIs" priority="4" operator="equal" dxfId="2">
      <formula>"Flaky"</formula>
    </cfRule>
  </conditionalFormatting>
  <conditionalFormatting sqref="K2:K1001">
    <cfRule type="cellIs" priority="5" operator="equal" dxfId="1">
      <formula>"Approved"</formula>
    </cfRule>
    <cfRule type="cellIs" priority="6" operator="equal" dxfId="2">
      <formula>"Modified"</formula>
    </cfRule>
    <cfRule type="cellIs" priority="7" operator="equal" dxfId="0">
      <formula>"Invalid"</formula>
    </cfRule>
  </conditionalFormatting>
  <dataValidations count="3">
    <dataValidation sqref="H2:H1001" showDropDown="0" showInputMessage="0" showErrorMessage="0" allowBlank="1" type="list">
      <formula1>"Positive,Negative,Boundary,Permission,Regression,Usability"</formula1>
    </dataValidation>
    <dataValidation sqref="I2:I1001" showDropDown="0" showInputMessage="0" showErrorMessage="0" allowBlank="1" type="list">
      <formula1>"High,Medium,Low"</formula1>
    </dataValidation>
    <dataValidation sqref="B2:B1001" showDropDown="0" showInputMessage="0" showErrorMessage="0" allowBlank="1" errorTitle="Unknown requirement" error="Pick a Req_ID from the Requirements sheet." type="list">
      <formula1>=Requirements!$A$2:$A$201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 ht="24" customHeight="1">
      <c r="A1" s="8" t="inlineStr">
        <is>
          <t>Req_ID</t>
        </is>
      </c>
      <c r="B1" s="8" t="inlineStr">
        <is>
          <t>Requirement</t>
        </is>
      </c>
      <c r="C1" s="8" t="inlineStr">
        <is>
          <t>Test cases</t>
        </is>
      </c>
      <c r="D1" s="8" t="inlineStr">
        <is>
          <t>Automated (approved)</t>
        </is>
      </c>
      <c r="E1" s="8" t="inlineStr">
        <is>
          <t>Passed</t>
        </is>
      </c>
      <c r="F1" s="8" t="inlineStr">
        <is>
          <t>Failed</t>
        </is>
      </c>
      <c r="G1" s="8" t="inlineStr">
        <is>
          <t>Not run</t>
        </is>
      </c>
      <c r="H1" s="8" t="inlineStr">
        <is>
          <t>Coverage</t>
        </is>
      </c>
    </row>
    <row r="2">
      <c r="A2" s="5">
        <f>IF(Requirements!A2="","",Requirements!A2)</f>
        <v/>
      </c>
      <c r="B2" s="5">
        <f>IF(A2="","",Requirements!B2)</f>
        <v/>
      </c>
      <c r="C2" s="5">
        <f>IF(A2="","",COUNTIF(TestCases!$B$2:$B$1001,A2))</f>
        <v/>
      </c>
      <c r="D2" s="5">
        <f>IF(A2="","",COUNTIFS(TestCases!$B$2:$B$1001,A2,TestCases!$K$2:$K$1001,"Approved"))</f>
        <v/>
      </c>
      <c r="E2" s="5">
        <f>IF(A2="","",COUNTIFS(TestCases!$B$2:$B$1001,A2,TestCases!$N$2:$N$1001,"Passed"))</f>
        <v/>
      </c>
      <c r="F2" s="5">
        <f>IF(A2="","",COUNTIFS(TestCases!$B$2:$B$1001,A2,TestCases!$N$2:$N$1001,"Failed")+COUNTIFS(TestCases!$B$2:$B$1001,A2,TestCases!$N$2:$N$1001,"Timed out"))</f>
        <v/>
      </c>
      <c r="G2" s="5">
        <f>IF(A2="","",C2-E2-F2-COUNTIFS(TestCases!$B$2:$B$1001,A2,TestCases!$N$2:$N$1001,"Flaky"))</f>
        <v/>
      </c>
      <c r="H2" s="5">
        <f>IF(A2="","",IF(C2=0,"No tests",IF(F2&gt;0,"Failing",IF(E2=C2,"Verified","In progress"))))</f>
        <v/>
      </c>
    </row>
    <row r="3">
      <c r="A3" s="5">
        <f>IF(Requirements!A3="","",Requirements!A3)</f>
        <v/>
      </c>
      <c r="B3" s="5">
        <f>IF(A3="","",Requirements!B3)</f>
        <v/>
      </c>
      <c r="C3" s="5">
        <f>IF(A3="","",COUNTIF(TestCases!$B$2:$B$1001,A3))</f>
        <v/>
      </c>
      <c r="D3" s="5">
        <f>IF(A3="","",COUNTIFS(TestCases!$B$2:$B$1001,A3,TestCases!$K$2:$K$1001,"Approved"))</f>
        <v/>
      </c>
      <c r="E3" s="5">
        <f>IF(A3="","",COUNTIFS(TestCases!$B$2:$B$1001,A3,TestCases!$N$2:$N$1001,"Passed"))</f>
        <v/>
      </c>
      <c r="F3" s="5">
        <f>IF(A3="","",COUNTIFS(TestCases!$B$2:$B$1001,A3,TestCases!$N$2:$N$1001,"Failed")+COUNTIFS(TestCases!$B$2:$B$1001,A3,TestCases!$N$2:$N$1001,"Timed out"))</f>
        <v/>
      </c>
      <c r="G3" s="5">
        <f>IF(A3="","",C3-E3-F3-COUNTIFS(TestCases!$B$2:$B$1001,A3,TestCases!$N$2:$N$1001,"Flaky"))</f>
        <v/>
      </c>
      <c r="H3" s="5">
        <f>IF(A3="","",IF(C3=0,"No tests",IF(F3&gt;0,"Failing",IF(E3=C3,"Verified","In progress"))))</f>
        <v/>
      </c>
    </row>
    <row r="4">
      <c r="A4" s="5">
        <f>IF(Requirements!A4="","",Requirements!A4)</f>
        <v/>
      </c>
      <c r="B4" s="5">
        <f>IF(A4="","",Requirements!B4)</f>
        <v/>
      </c>
      <c r="C4" s="5">
        <f>IF(A4="","",COUNTIF(TestCases!$B$2:$B$1001,A4))</f>
        <v/>
      </c>
      <c r="D4" s="5">
        <f>IF(A4="","",COUNTIFS(TestCases!$B$2:$B$1001,A4,TestCases!$K$2:$K$1001,"Approved"))</f>
        <v/>
      </c>
      <c r="E4" s="5">
        <f>IF(A4="","",COUNTIFS(TestCases!$B$2:$B$1001,A4,TestCases!$N$2:$N$1001,"Passed"))</f>
        <v/>
      </c>
      <c r="F4" s="5">
        <f>IF(A4="","",COUNTIFS(TestCases!$B$2:$B$1001,A4,TestCases!$N$2:$N$1001,"Failed")+COUNTIFS(TestCases!$B$2:$B$1001,A4,TestCases!$N$2:$N$1001,"Timed out"))</f>
        <v/>
      </c>
      <c r="G4" s="5">
        <f>IF(A4="","",C4-E4-F4-COUNTIFS(TestCases!$B$2:$B$1001,A4,TestCases!$N$2:$N$1001,"Flaky"))</f>
        <v/>
      </c>
      <c r="H4" s="5">
        <f>IF(A4="","",IF(C4=0,"No tests",IF(F4&gt;0,"Failing",IF(E4=C4,"Verified","In progress"))))</f>
        <v/>
      </c>
    </row>
    <row r="5">
      <c r="A5" s="5">
        <f>IF(Requirements!A5="","",Requirements!A5)</f>
        <v/>
      </c>
      <c r="B5" s="5">
        <f>IF(A5="","",Requirements!B5)</f>
        <v/>
      </c>
      <c r="C5" s="5">
        <f>IF(A5="","",COUNTIF(TestCases!$B$2:$B$1001,A5))</f>
        <v/>
      </c>
      <c r="D5" s="5">
        <f>IF(A5="","",COUNTIFS(TestCases!$B$2:$B$1001,A5,TestCases!$K$2:$K$1001,"Approved"))</f>
        <v/>
      </c>
      <c r="E5" s="5">
        <f>IF(A5="","",COUNTIFS(TestCases!$B$2:$B$1001,A5,TestCases!$N$2:$N$1001,"Passed"))</f>
        <v/>
      </c>
      <c r="F5" s="5">
        <f>IF(A5="","",COUNTIFS(TestCases!$B$2:$B$1001,A5,TestCases!$N$2:$N$1001,"Failed")+COUNTIFS(TestCases!$B$2:$B$1001,A5,TestCases!$N$2:$N$1001,"Timed out"))</f>
        <v/>
      </c>
      <c r="G5" s="5">
        <f>IF(A5="","",C5-E5-F5-COUNTIFS(TestCases!$B$2:$B$1001,A5,TestCases!$N$2:$N$1001,"Flaky"))</f>
        <v/>
      </c>
      <c r="H5" s="5">
        <f>IF(A5="","",IF(C5=0,"No tests",IF(F5&gt;0,"Failing",IF(E5=C5,"Verified","In progress"))))</f>
        <v/>
      </c>
    </row>
    <row r="6">
      <c r="A6" s="5">
        <f>IF(Requirements!A6="","",Requirements!A6)</f>
        <v/>
      </c>
      <c r="B6" s="5">
        <f>IF(A6="","",Requirements!B6)</f>
        <v/>
      </c>
      <c r="C6" s="5">
        <f>IF(A6="","",COUNTIF(TestCases!$B$2:$B$1001,A6))</f>
        <v/>
      </c>
      <c r="D6" s="5">
        <f>IF(A6="","",COUNTIFS(TestCases!$B$2:$B$1001,A6,TestCases!$K$2:$K$1001,"Approved"))</f>
        <v/>
      </c>
      <c r="E6" s="5">
        <f>IF(A6="","",COUNTIFS(TestCases!$B$2:$B$1001,A6,TestCases!$N$2:$N$1001,"Passed"))</f>
        <v/>
      </c>
      <c r="F6" s="5">
        <f>IF(A6="","",COUNTIFS(TestCases!$B$2:$B$1001,A6,TestCases!$N$2:$N$1001,"Failed")+COUNTIFS(TestCases!$B$2:$B$1001,A6,TestCases!$N$2:$N$1001,"Timed out"))</f>
        <v/>
      </c>
      <c r="G6" s="5">
        <f>IF(A6="","",C6-E6-F6-COUNTIFS(TestCases!$B$2:$B$1001,A6,TestCases!$N$2:$N$1001,"Flaky"))</f>
        <v/>
      </c>
      <c r="H6" s="5">
        <f>IF(A6="","",IF(C6=0,"No tests",IF(F6&gt;0,"Failing",IF(E6=C6,"Verified","In progress"))))</f>
        <v/>
      </c>
    </row>
    <row r="7">
      <c r="A7" s="5">
        <f>IF(Requirements!A7="","",Requirements!A7)</f>
        <v/>
      </c>
      <c r="B7" s="5">
        <f>IF(A7="","",Requirements!B7)</f>
        <v/>
      </c>
      <c r="C7" s="5">
        <f>IF(A7="","",COUNTIF(TestCases!$B$2:$B$1001,A7))</f>
        <v/>
      </c>
      <c r="D7" s="5">
        <f>IF(A7="","",COUNTIFS(TestCases!$B$2:$B$1001,A7,TestCases!$K$2:$K$1001,"Approved"))</f>
        <v/>
      </c>
      <c r="E7" s="5">
        <f>IF(A7="","",COUNTIFS(TestCases!$B$2:$B$1001,A7,TestCases!$N$2:$N$1001,"Passed"))</f>
        <v/>
      </c>
      <c r="F7" s="5">
        <f>IF(A7="","",COUNTIFS(TestCases!$B$2:$B$1001,A7,TestCases!$N$2:$N$1001,"Failed")+COUNTIFS(TestCases!$B$2:$B$1001,A7,TestCases!$N$2:$N$1001,"Timed out"))</f>
        <v/>
      </c>
      <c r="G7" s="5">
        <f>IF(A7="","",C7-E7-F7-COUNTIFS(TestCases!$B$2:$B$1001,A7,TestCases!$N$2:$N$1001,"Flaky"))</f>
        <v/>
      </c>
      <c r="H7" s="5">
        <f>IF(A7="","",IF(C7=0,"No tests",IF(F7&gt;0,"Failing",IF(E7=C7,"Verified","In progress"))))</f>
        <v/>
      </c>
    </row>
    <row r="8">
      <c r="A8" s="5">
        <f>IF(Requirements!A8="","",Requirements!A8)</f>
        <v/>
      </c>
      <c r="B8" s="5">
        <f>IF(A8="","",Requirements!B8)</f>
        <v/>
      </c>
      <c r="C8" s="5">
        <f>IF(A8="","",COUNTIF(TestCases!$B$2:$B$1001,A8))</f>
        <v/>
      </c>
      <c r="D8" s="5">
        <f>IF(A8="","",COUNTIFS(TestCases!$B$2:$B$1001,A8,TestCases!$K$2:$K$1001,"Approved"))</f>
        <v/>
      </c>
      <c r="E8" s="5">
        <f>IF(A8="","",COUNTIFS(TestCases!$B$2:$B$1001,A8,TestCases!$N$2:$N$1001,"Passed"))</f>
        <v/>
      </c>
      <c r="F8" s="5">
        <f>IF(A8="","",COUNTIFS(TestCases!$B$2:$B$1001,A8,TestCases!$N$2:$N$1001,"Failed")+COUNTIFS(TestCases!$B$2:$B$1001,A8,TestCases!$N$2:$N$1001,"Timed out"))</f>
        <v/>
      </c>
      <c r="G8" s="5">
        <f>IF(A8="","",C8-E8-F8-COUNTIFS(TestCases!$B$2:$B$1001,A8,TestCases!$N$2:$N$1001,"Flaky"))</f>
        <v/>
      </c>
      <c r="H8" s="5">
        <f>IF(A8="","",IF(C8=0,"No tests",IF(F8&gt;0,"Failing",IF(E8=C8,"Verified","In progress"))))</f>
        <v/>
      </c>
    </row>
    <row r="9">
      <c r="A9" s="5">
        <f>IF(Requirements!A9="","",Requirements!A9)</f>
        <v/>
      </c>
      <c r="B9" s="5">
        <f>IF(A9="","",Requirements!B9)</f>
        <v/>
      </c>
      <c r="C9" s="5">
        <f>IF(A9="","",COUNTIF(TestCases!$B$2:$B$1001,A9))</f>
        <v/>
      </c>
      <c r="D9" s="5">
        <f>IF(A9="","",COUNTIFS(TestCases!$B$2:$B$1001,A9,TestCases!$K$2:$K$1001,"Approved"))</f>
        <v/>
      </c>
      <c r="E9" s="5">
        <f>IF(A9="","",COUNTIFS(TestCases!$B$2:$B$1001,A9,TestCases!$N$2:$N$1001,"Passed"))</f>
        <v/>
      </c>
      <c r="F9" s="5">
        <f>IF(A9="","",COUNTIFS(TestCases!$B$2:$B$1001,A9,TestCases!$N$2:$N$1001,"Failed")+COUNTIFS(TestCases!$B$2:$B$1001,A9,TestCases!$N$2:$N$1001,"Timed out"))</f>
        <v/>
      </c>
      <c r="G9" s="5">
        <f>IF(A9="","",C9-E9-F9-COUNTIFS(TestCases!$B$2:$B$1001,A9,TestCases!$N$2:$N$1001,"Flaky"))</f>
        <v/>
      </c>
      <c r="H9" s="5">
        <f>IF(A9="","",IF(C9=0,"No tests",IF(F9&gt;0,"Failing",IF(E9=C9,"Verified","In progress"))))</f>
        <v/>
      </c>
    </row>
    <row r="10">
      <c r="A10" s="5">
        <f>IF(Requirements!A10="","",Requirements!A10)</f>
        <v/>
      </c>
      <c r="B10" s="5">
        <f>IF(A10="","",Requirements!B10)</f>
        <v/>
      </c>
      <c r="C10" s="5">
        <f>IF(A10="","",COUNTIF(TestCases!$B$2:$B$1001,A10))</f>
        <v/>
      </c>
      <c r="D10" s="5">
        <f>IF(A10="","",COUNTIFS(TestCases!$B$2:$B$1001,A10,TestCases!$K$2:$K$1001,"Approved"))</f>
        <v/>
      </c>
      <c r="E10" s="5">
        <f>IF(A10="","",COUNTIFS(TestCases!$B$2:$B$1001,A10,TestCases!$N$2:$N$1001,"Passed"))</f>
        <v/>
      </c>
      <c r="F10" s="5">
        <f>IF(A10="","",COUNTIFS(TestCases!$B$2:$B$1001,A10,TestCases!$N$2:$N$1001,"Failed")+COUNTIFS(TestCases!$B$2:$B$1001,A10,TestCases!$N$2:$N$1001,"Timed out"))</f>
        <v/>
      </c>
      <c r="G10" s="5">
        <f>IF(A10="","",C10-E10-F10-COUNTIFS(TestCases!$B$2:$B$1001,A10,TestCases!$N$2:$N$1001,"Flaky"))</f>
        <v/>
      </c>
      <c r="H10" s="5">
        <f>IF(A10="","",IF(C10=0,"No tests",IF(F10&gt;0,"Failing",IF(E10=C10,"Verified","In progress"))))</f>
        <v/>
      </c>
    </row>
    <row r="11">
      <c r="A11" s="5">
        <f>IF(Requirements!A11="","",Requirements!A11)</f>
        <v/>
      </c>
      <c r="B11" s="5">
        <f>IF(A11="","",Requirements!B11)</f>
        <v/>
      </c>
      <c r="C11" s="5">
        <f>IF(A11="","",COUNTIF(TestCases!$B$2:$B$1001,A11))</f>
        <v/>
      </c>
      <c r="D11" s="5">
        <f>IF(A11="","",COUNTIFS(TestCases!$B$2:$B$1001,A11,TestCases!$K$2:$K$1001,"Approved"))</f>
        <v/>
      </c>
      <c r="E11" s="5">
        <f>IF(A11="","",COUNTIFS(TestCases!$B$2:$B$1001,A11,TestCases!$N$2:$N$1001,"Passed"))</f>
        <v/>
      </c>
      <c r="F11" s="5">
        <f>IF(A11="","",COUNTIFS(TestCases!$B$2:$B$1001,A11,TestCases!$N$2:$N$1001,"Failed")+COUNTIFS(TestCases!$B$2:$B$1001,A11,TestCases!$N$2:$N$1001,"Timed out"))</f>
        <v/>
      </c>
      <c r="G11" s="5">
        <f>IF(A11="","",C11-E11-F11-COUNTIFS(TestCases!$B$2:$B$1001,A11,TestCases!$N$2:$N$1001,"Flaky"))</f>
        <v/>
      </c>
      <c r="H11" s="5">
        <f>IF(A11="","",IF(C11=0,"No tests",IF(F11&gt;0,"Failing",IF(E11=C11,"Verified","In progress"))))</f>
        <v/>
      </c>
    </row>
    <row r="12">
      <c r="A12" s="5">
        <f>IF(Requirements!A12="","",Requirements!A12)</f>
        <v/>
      </c>
      <c r="B12" s="5">
        <f>IF(A12="","",Requirements!B12)</f>
        <v/>
      </c>
      <c r="C12" s="5">
        <f>IF(A12="","",COUNTIF(TestCases!$B$2:$B$1001,A12))</f>
        <v/>
      </c>
      <c r="D12" s="5">
        <f>IF(A12="","",COUNTIFS(TestCases!$B$2:$B$1001,A12,TestCases!$K$2:$K$1001,"Approved"))</f>
        <v/>
      </c>
      <c r="E12" s="5">
        <f>IF(A12="","",COUNTIFS(TestCases!$B$2:$B$1001,A12,TestCases!$N$2:$N$1001,"Passed"))</f>
        <v/>
      </c>
      <c r="F12" s="5">
        <f>IF(A12="","",COUNTIFS(TestCases!$B$2:$B$1001,A12,TestCases!$N$2:$N$1001,"Failed")+COUNTIFS(TestCases!$B$2:$B$1001,A12,TestCases!$N$2:$N$1001,"Timed out"))</f>
        <v/>
      </c>
      <c r="G12" s="5">
        <f>IF(A12="","",C12-E12-F12-COUNTIFS(TestCases!$B$2:$B$1001,A12,TestCases!$N$2:$N$1001,"Flaky"))</f>
        <v/>
      </c>
      <c r="H12" s="5">
        <f>IF(A12="","",IF(C12=0,"No tests",IF(F12&gt;0,"Failing",IF(E12=C12,"Verified","In progress"))))</f>
        <v/>
      </c>
    </row>
    <row r="13">
      <c r="A13" s="5">
        <f>IF(Requirements!A13="","",Requirements!A13)</f>
        <v/>
      </c>
      <c r="B13" s="5">
        <f>IF(A13="","",Requirements!B13)</f>
        <v/>
      </c>
      <c r="C13" s="5">
        <f>IF(A13="","",COUNTIF(TestCases!$B$2:$B$1001,A13))</f>
        <v/>
      </c>
      <c r="D13" s="5">
        <f>IF(A13="","",COUNTIFS(TestCases!$B$2:$B$1001,A13,TestCases!$K$2:$K$1001,"Approved"))</f>
        <v/>
      </c>
      <c r="E13" s="5">
        <f>IF(A13="","",COUNTIFS(TestCases!$B$2:$B$1001,A13,TestCases!$N$2:$N$1001,"Passed"))</f>
        <v/>
      </c>
      <c r="F13" s="5">
        <f>IF(A13="","",COUNTIFS(TestCases!$B$2:$B$1001,A13,TestCases!$N$2:$N$1001,"Failed")+COUNTIFS(TestCases!$B$2:$B$1001,A13,TestCases!$N$2:$N$1001,"Timed out"))</f>
        <v/>
      </c>
      <c r="G13" s="5">
        <f>IF(A13="","",C13-E13-F13-COUNTIFS(TestCases!$B$2:$B$1001,A13,TestCases!$N$2:$N$1001,"Flaky"))</f>
        <v/>
      </c>
      <c r="H13" s="5">
        <f>IF(A13="","",IF(C13=0,"No tests",IF(F13&gt;0,"Failing",IF(E13=C13,"Verified","In progress"))))</f>
        <v/>
      </c>
    </row>
    <row r="14">
      <c r="A14" s="5">
        <f>IF(Requirements!A14="","",Requirements!A14)</f>
        <v/>
      </c>
      <c r="B14" s="5">
        <f>IF(A14="","",Requirements!B14)</f>
        <v/>
      </c>
      <c r="C14" s="5">
        <f>IF(A14="","",COUNTIF(TestCases!$B$2:$B$1001,A14))</f>
        <v/>
      </c>
      <c r="D14" s="5">
        <f>IF(A14="","",COUNTIFS(TestCases!$B$2:$B$1001,A14,TestCases!$K$2:$K$1001,"Approved"))</f>
        <v/>
      </c>
      <c r="E14" s="5">
        <f>IF(A14="","",COUNTIFS(TestCases!$B$2:$B$1001,A14,TestCases!$N$2:$N$1001,"Passed"))</f>
        <v/>
      </c>
      <c r="F14" s="5">
        <f>IF(A14="","",COUNTIFS(TestCases!$B$2:$B$1001,A14,TestCases!$N$2:$N$1001,"Failed")+COUNTIFS(TestCases!$B$2:$B$1001,A14,TestCases!$N$2:$N$1001,"Timed out"))</f>
        <v/>
      </c>
      <c r="G14" s="5">
        <f>IF(A14="","",C14-E14-F14-COUNTIFS(TestCases!$B$2:$B$1001,A14,TestCases!$N$2:$N$1001,"Flaky"))</f>
        <v/>
      </c>
      <c r="H14" s="5">
        <f>IF(A14="","",IF(C14=0,"No tests",IF(F14&gt;0,"Failing",IF(E14=C14,"Verified","In progress"))))</f>
        <v/>
      </c>
    </row>
    <row r="15">
      <c r="A15" s="5">
        <f>IF(Requirements!A15="","",Requirements!A15)</f>
        <v/>
      </c>
      <c r="B15" s="5">
        <f>IF(A15="","",Requirements!B15)</f>
        <v/>
      </c>
      <c r="C15" s="5">
        <f>IF(A15="","",COUNTIF(TestCases!$B$2:$B$1001,A15))</f>
        <v/>
      </c>
      <c r="D15" s="5">
        <f>IF(A15="","",COUNTIFS(TestCases!$B$2:$B$1001,A15,TestCases!$K$2:$K$1001,"Approved"))</f>
        <v/>
      </c>
      <c r="E15" s="5">
        <f>IF(A15="","",COUNTIFS(TestCases!$B$2:$B$1001,A15,TestCases!$N$2:$N$1001,"Passed"))</f>
        <v/>
      </c>
      <c r="F15" s="5">
        <f>IF(A15="","",COUNTIFS(TestCases!$B$2:$B$1001,A15,TestCases!$N$2:$N$1001,"Failed")+COUNTIFS(TestCases!$B$2:$B$1001,A15,TestCases!$N$2:$N$1001,"Timed out"))</f>
        <v/>
      </c>
      <c r="G15" s="5">
        <f>IF(A15="","",C15-E15-F15-COUNTIFS(TestCases!$B$2:$B$1001,A15,TestCases!$N$2:$N$1001,"Flaky"))</f>
        <v/>
      </c>
      <c r="H15" s="5">
        <f>IF(A15="","",IF(C15=0,"No tests",IF(F15&gt;0,"Failing",IF(E15=C15,"Verified","In progress"))))</f>
        <v/>
      </c>
    </row>
    <row r="16">
      <c r="A16" s="5">
        <f>IF(Requirements!A16="","",Requirements!A16)</f>
        <v/>
      </c>
      <c r="B16" s="5">
        <f>IF(A16="","",Requirements!B16)</f>
        <v/>
      </c>
      <c r="C16" s="5">
        <f>IF(A16="","",COUNTIF(TestCases!$B$2:$B$1001,A16))</f>
        <v/>
      </c>
      <c r="D16" s="5">
        <f>IF(A16="","",COUNTIFS(TestCases!$B$2:$B$1001,A16,TestCases!$K$2:$K$1001,"Approved"))</f>
        <v/>
      </c>
      <c r="E16" s="5">
        <f>IF(A16="","",COUNTIFS(TestCases!$B$2:$B$1001,A16,TestCases!$N$2:$N$1001,"Passed"))</f>
        <v/>
      </c>
      <c r="F16" s="5">
        <f>IF(A16="","",COUNTIFS(TestCases!$B$2:$B$1001,A16,TestCases!$N$2:$N$1001,"Failed")+COUNTIFS(TestCases!$B$2:$B$1001,A16,TestCases!$N$2:$N$1001,"Timed out"))</f>
        <v/>
      </c>
      <c r="G16" s="5">
        <f>IF(A16="","",C16-E16-F16-COUNTIFS(TestCases!$B$2:$B$1001,A16,TestCases!$N$2:$N$1001,"Flaky"))</f>
        <v/>
      </c>
      <c r="H16" s="5">
        <f>IF(A16="","",IF(C16=0,"No tests",IF(F16&gt;0,"Failing",IF(E16=C16,"Verified","In progress"))))</f>
        <v/>
      </c>
    </row>
    <row r="17">
      <c r="A17" s="5">
        <f>IF(Requirements!A17="","",Requirements!A17)</f>
        <v/>
      </c>
      <c r="B17" s="5">
        <f>IF(A17="","",Requirements!B17)</f>
        <v/>
      </c>
      <c r="C17" s="5">
        <f>IF(A17="","",COUNTIF(TestCases!$B$2:$B$1001,A17))</f>
        <v/>
      </c>
      <c r="D17" s="5">
        <f>IF(A17="","",COUNTIFS(TestCases!$B$2:$B$1001,A17,TestCases!$K$2:$K$1001,"Approved"))</f>
        <v/>
      </c>
      <c r="E17" s="5">
        <f>IF(A17="","",COUNTIFS(TestCases!$B$2:$B$1001,A17,TestCases!$N$2:$N$1001,"Passed"))</f>
        <v/>
      </c>
      <c r="F17" s="5">
        <f>IF(A17="","",COUNTIFS(TestCases!$B$2:$B$1001,A17,TestCases!$N$2:$N$1001,"Failed")+COUNTIFS(TestCases!$B$2:$B$1001,A17,TestCases!$N$2:$N$1001,"Timed out"))</f>
        <v/>
      </c>
      <c r="G17" s="5">
        <f>IF(A17="","",C17-E17-F17-COUNTIFS(TestCases!$B$2:$B$1001,A17,TestCases!$N$2:$N$1001,"Flaky"))</f>
        <v/>
      </c>
      <c r="H17" s="5">
        <f>IF(A17="","",IF(C17=0,"No tests",IF(F17&gt;0,"Failing",IF(E17=C17,"Verified","In progress"))))</f>
        <v/>
      </c>
    </row>
    <row r="18">
      <c r="A18" s="5">
        <f>IF(Requirements!A18="","",Requirements!A18)</f>
        <v/>
      </c>
      <c r="B18" s="5">
        <f>IF(A18="","",Requirements!B18)</f>
        <v/>
      </c>
      <c r="C18" s="5">
        <f>IF(A18="","",COUNTIF(TestCases!$B$2:$B$1001,A18))</f>
        <v/>
      </c>
      <c r="D18" s="5">
        <f>IF(A18="","",COUNTIFS(TestCases!$B$2:$B$1001,A18,TestCases!$K$2:$K$1001,"Approved"))</f>
        <v/>
      </c>
      <c r="E18" s="5">
        <f>IF(A18="","",COUNTIFS(TestCases!$B$2:$B$1001,A18,TestCases!$N$2:$N$1001,"Passed"))</f>
        <v/>
      </c>
      <c r="F18" s="5">
        <f>IF(A18="","",COUNTIFS(TestCases!$B$2:$B$1001,A18,TestCases!$N$2:$N$1001,"Failed")+COUNTIFS(TestCases!$B$2:$B$1001,A18,TestCases!$N$2:$N$1001,"Timed out"))</f>
        <v/>
      </c>
      <c r="G18" s="5">
        <f>IF(A18="","",C18-E18-F18-COUNTIFS(TestCases!$B$2:$B$1001,A18,TestCases!$N$2:$N$1001,"Flaky"))</f>
        <v/>
      </c>
      <c r="H18" s="5">
        <f>IF(A18="","",IF(C18=0,"No tests",IF(F18&gt;0,"Failing",IF(E18=C18,"Verified","In progress"))))</f>
        <v/>
      </c>
    </row>
    <row r="19">
      <c r="A19" s="5">
        <f>IF(Requirements!A19="","",Requirements!A19)</f>
        <v/>
      </c>
      <c r="B19" s="5">
        <f>IF(A19="","",Requirements!B19)</f>
        <v/>
      </c>
      <c r="C19" s="5">
        <f>IF(A19="","",COUNTIF(TestCases!$B$2:$B$1001,A19))</f>
        <v/>
      </c>
      <c r="D19" s="5">
        <f>IF(A19="","",COUNTIFS(TestCases!$B$2:$B$1001,A19,TestCases!$K$2:$K$1001,"Approved"))</f>
        <v/>
      </c>
      <c r="E19" s="5">
        <f>IF(A19="","",COUNTIFS(TestCases!$B$2:$B$1001,A19,TestCases!$N$2:$N$1001,"Passed"))</f>
        <v/>
      </c>
      <c r="F19" s="5">
        <f>IF(A19="","",COUNTIFS(TestCases!$B$2:$B$1001,A19,TestCases!$N$2:$N$1001,"Failed")+COUNTIFS(TestCases!$B$2:$B$1001,A19,TestCases!$N$2:$N$1001,"Timed out"))</f>
        <v/>
      </c>
      <c r="G19" s="5">
        <f>IF(A19="","",C19-E19-F19-COUNTIFS(TestCases!$B$2:$B$1001,A19,TestCases!$N$2:$N$1001,"Flaky"))</f>
        <v/>
      </c>
      <c r="H19" s="5">
        <f>IF(A19="","",IF(C19=0,"No tests",IF(F19&gt;0,"Failing",IF(E19=C19,"Verified","In progress"))))</f>
        <v/>
      </c>
    </row>
    <row r="20">
      <c r="A20" s="5">
        <f>IF(Requirements!A20="","",Requirements!A20)</f>
        <v/>
      </c>
      <c r="B20" s="5">
        <f>IF(A20="","",Requirements!B20)</f>
        <v/>
      </c>
      <c r="C20" s="5">
        <f>IF(A20="","",COUNTIF(TestCases!$B$2:$B$1001,A20))</f>
        <v/>
      </c>
      <c r="D20" s="5">
        <f>IF(A20="","",COUNTIFS(TestCases!$B$2:$B$1001,A20,TestCases!$K$2:$K$1001,"Approved"))</f>
        <v/>
      </c>
      <c r="E20" s="5">
        <f>IF(A20="","",COUNTIFS(TestCases!$B$2:$B$1001,A20,TestCases!$N$2:$N$1001,"Passed"))</f>
        <v/>
      </c>
      <c r="F20" s="5">
        <f>IF(A20="","",COUNTIFS(TestCases!$B$2:$B$1001,A20,TestCases!$N$2:$N$1001,"Failed")+COUNTIFS(TestCases!$B$2:$B$1001,A20,TestCases!$N$2:$N$1001,"Timed out"))</f>
        <v/>
      </c>
      <c r="G20" s="5">
        <f>IF(A20="","",C20-E20-F20-COUNTIFS(TestCases!$B$2:$B$1001,A20,TestCases!$N$2:$N$1001,"Flaky"))</f>
        <v/>
      </c>
      <c r="H20" s="5">
        <f>IF(A20="","",IF(C20=0,"No tests",IF(F20&gt;0,"Failing",IF(E20=C20,"Verified","In progress"))))</f>
        <v/>
      </c>
    </row>
    <row r="21">
      <c r="A21" s="5">
        <f>IF(Requirements!A21="","",Requirements!A21)</f>
        <v/>
      </c>
      <c r="B21" s="5">
        <f>IF(A21="","",Requirements!B21)</f>
        <v/>
      </c>
      <c r="C21" s="5">
        <f>IF(A21="","",COUNTIF(TestCases!$B$2:$B$1001,A21))</f>
        <v/>
      </c>
      <c r="D21" s="5">
        <f>IF(A21="","",COUNTIFS(TestCases!$B$2:$B$1001,A21,TestCases!$K$2:$K$1001,"Approved"))</f>
        <v/>
      </c>
      <c r="E21" s="5">
        <f>IF(A21="","",COUNTIFS(TestCases!$B$2:$B$1001,A21,TestCases!$N$2:$N$1001,"Passed"))</f>
        <v/>
      </c>
      <c r="F21" s="5">
        <f>IF(A21="","",COUNTIFS(TestCases!$B$2:$B$1001,A21,TestCases!$N$2:$N$1001,"Failed")+COUNTIFS(TestCases!$B$2:$B$1001,A21,TestCases!$N$2:$N$1001,"Timed out"))</f>
        <v/>
      </c>
      <c r="G21" s="5">
        <f>IF(A21="","",C21-E21-F21-COUNTIFS(TestCases!$B$2:$B$1001,A21,TestCases!$N$2:$N$1001,"Flaky"))</f>
        <v/>
      </c>
      <c r="H21" s="5">
        <f>IF(A21="","",IF(C21=0,"No tests",IF(F21&gt;0,"Failing",IF(E21=C21,"Verified","In progress"))))</f>
        <v/>
      </c>
    </row>
    <row r="22">
      <c r="A22" s="5">
        <f>IF(Requirements!A22="","",Requirements!A22)</f>
        <v/>
      </c>
      <c r="B22" s="5">
        <f>IF(A22="","",Requirements!B22)</f>
        <v/>
      </c>
      <c r="C22" s="5">
        <f>IF(A22="","",COUNTIF(TestCases!$B$2:$B$1001,A22))</f>
        <v/>
      </c>
      <c r="D22" s="5">
        <f>IF(A22="","",COUNTIFS(TestCases!$B$2:$B$1001,A22,TestCases!$K$2:$K$1001,"Approved"))</f>
        <v/>
      </c>
      <c r="E22" s="5">
        <f>IF(A22="","",COUNTIFS(TestCases!$B$2:$B$1001,A22,TestCases!$N$2:$N$1001,"Passed"))</f>
        <v/>
      </c>
      <c r="F22" s="5">
        <f>IF(A22="","",COUNTIFS(TestCases!$B$2:$B$1001,A22,TestCases!$N$2:$N$1001,"Failed")+COUNTIFS(TestCases!$B$2:$B$1001,A22,TestCases!$N$2:$N$1001,"Timed out"))</f>
        <v/>
      </c>
      <c r="G22" s="5">
        <f>IF(A22="","",C22-E22-F22-COUNTIFS(TestCases!$B$2:$B$1001,A22,TestCases!$N$2:$N$1001,"Flaky"))</f>
        <v/>
      </c>
      <c r="H22" s="5">
        <f>IF(A22="","",IF(C22=0,"No tests",IF(F22&gt;0,"Failing",IF(E22=C22,"Verified","In progress"))))</f>
        <v/>
      </c>
    </row>
    <row r="23">
      <c r="A23" s="5">
        <f>IF(Requirements!A23="","",Requirements!A23)</f>
        <v/>
      </c>
      <c r="B23" s="5">
        <f>IF(A23="","",Requirements!B23)</f>
        <v/>
      </c>
      <c r="C23" s="5">
        <f>IF(A23="","",COUNTIF(TestCases!$B$2:$B$1001,A23))</f>
        <v/>
      </c>
      <c r="D23" s="5">
        <f>IF(A23="","",COUNTIFS(TestCases!$B$2:$B$1001,A23,TestCases!$K$2:$K$1001,"Approved"))</f>
        <v/>
      </c>
      <c r="E23" s="5">
        <f>IF(A23="","",COUNTIFS(TestCases!$B$2:$B$1001,A23,TestCases!$N$2:$N$1001,"Passed"))</f>
        <v/>
      </c>
      <c r="F23" s="5">
        <f>IF(A23="","",COUNTIFS(TestCases!$B$2:$B$1001,A23,TestCases!$N$2:$N$1001,"Failed")+COUNTIFS(TestCases!$B$2:$B$1001,A23,TestCases!$N$2:$N$1001,"Timed out"))</f>
        <v/>
      </c>
      <c r="G23" s="5">
        <f>IF(A23="","",C23-E23-F23-COUNTIFS(TestCases!$B$2:$B$1001,A23,TestCases!$N$2:$N$1001,"Flaky"))</f>
        <v/>
      </c>
      <c r="H23" s="5">
        <f>IF(A23="","",IF(C23=0,"No tests",IF(F23&gt;0,"Failing",IF(E23=C23,"Verified","In progress"))))</f>
        <v/>
      </c>
    </row>
    <row r="24">
      <c r="A24" s="5">
        <f>IF(Requirements!A24="","",Requirements!A24)</f>
        <v/>
      </c>
      <c r="B24" s="5">
        <f>IF(A24="","",Requirements!B24)</f>
        <v/>
      </c>
      <c r="C24" s="5">
        <f>IF(A24="","",COUNTIF(TestCases!$B$2:$B$1001,A24))</f>
        <v/>
      </c>
      <c r="D24" s="5">
        <f>IF(A24="","",COUNTIFS(TestCases!$B$2:$B$1001,A24,TestCases!$K$2:$K$1001,"Approved"))</f>
        <v/>
      </c>
      <c r="E24" s="5">
        <f>IF(A24="","",COUNTIFS(TestCases!$B$2:$B$1001,A24,TestCases!$N$2:$N$1001,"Passed"))</f>
        <v/>
      </c>
      <c r="F24" s="5">
        <f>IF(A24="","",COUNTIFS(TestCases!$B$2:$B$1001,A24,TestCases!$N$2:$N$1001,"Failed")+COUNTIFS(TestCases!$B$2:$B$1001,A24,TestCases!$N$2:$N$1001,"Timed out"))</f>
        <v/>
      </c>
      <c r="G24" s="5">
        <f>IF(A24="","",C24-E24-F24-COUNTIFS(TestCases!$B$2:$B$1001,A24,TestCases!$N$2:$N$1001,"Flaky"))</f>
        <v/>
      </c>
      <c r="H24" s="5">
        <f>IF(A24="","",IF(C24=0,"No tests",IF(F24&gt;0,"Failing",IF(E24=C24,"Verified","In progress"))))</f>
        <v/>
      </c>
    </row>
    <row r="25">
      <c r="A25" s="5">
        <f>IF(Requirements!A25="","",Requirements!A25)</f>
        <v/>
      </c>
      <c r="B25" s="5">
        <f>IF(A25="","",Requirements!B25)</f>
        <v/>
      </c>
      <c r="C25" s="5">
        <f>IF(A25="","",COUNTIF(TestCases!$B$2:$B$1001,A25))</f>
        <v/>
      </c>
      <c r="D25" s="5">
        <f>IF(A25="","",COUNTIFS(TestCases!$B$2:$B$1001,A25,TestCases!$K$2:$K$1001,"Approved"))</f>
        <v/>
      </c>
      <c r="E25" s="5">
        <f>IF(A25="","",COUNTIFS(TestCases!$B$2:$B$1001,A25,TestCases!$N$2:$N$1001,"Passed"))</f>
        <v/>
      </c>
      <c r="F25" s="5">
        <f>IF(A25="","",COUNTIFS(TestCases!$B$2:$B$1001,A25,TestCases!$N$2:$N$1001,"Failed")+COUNTIFS(TestCases!$B$2:$B$1001,A25,TestCases!$N$2:$N$1001,"Timed out"))</f>
        <v/>
      </c>
      <c r="G25" s="5">
        <f>IF(A25="","",C25-E25-F25-COUNTIFS(TestCases!$B$2:$B$1001,A25,TestCases!$N$2:$N$1001,"Flaky"))</f>
        <v/>
      </c>
      <c r="H25" s="5">
        <f>IF(A25="","",IF(C25=0,"No tests",IF(F25&gt;0,"Failing",IF(E25=C25,"Verified","In progress"))))</f>
        <v/>
      </c>
    </row>
    <row r="26">
      <c r="A26" s="5">
        <f>IF(Requirements!A26="","",Requirements!A26)</f>
        <v/>
      </c>
      <c r="B26" s="5">
        <f>IF(A26="","",Requirements!B26)</f>
        <v/>
      </c>
      <c r="C26" s="5">
        <f>IF(A26="","",COUNTIF(TestCases!$B$2:$B$1001,A26))</f>
        <v/>
      </c>
      <c r="D26" s="5">
        <f>IF(A26="","",COUNTIFS(TestCases!$B$2:$B$1001,A26,TestCases!$K$2:$K$1001,"Approved"))</f>
        <v/>
      </c>
      <c r="E26" s="5">
        <f>IF(A26="","",COUNTIFS(TestCases!$B$2:$B$1001,A26,TestCases!$N$2:$N$1001,"Passed"))</f>
        <v/>
      </c>
      <c r="F26" s="5">
        <f>IF(A26="","",COUNTIFS(TestCases!$B$2:$B$1001,A26,TestCases!$N$2:$N$1001,"Failed")+COUNTIFS(TestCases!$B$2:$B$1001,A26,TestCases!$N$2:$N$1001,"Timed out"))</f>
        <v/>
      </c>
      <c r="G26" s="5">
        <f>IF(A26="","",C26-E26-F26-COUNTIFS(TestCases!$B$2:$B$1001,A26,TestCases!$N$2:$N$1001,"Flaky"))</f>
        <v/>
      </c>
      <c r="H26" s="5">
        <f>IF(A26="","",IF(C26=0,"No tests",IF(F26&gt;0,"Failing",IF(E26=C26,"Verified","In progress"))))</f>
        <v/>
      </c>
    </row>
    <row r="27">
      <c r="A27" s="5">
        <f>IF(Requirements!A27="","",Requirements!A27)</f>
        <v/>
      </c>
      <c r="B27" s="5">
        <f>IF(A27="","",Requirements!B27)</f>
        <v/>
      </c>
      <c r="C27" s="5">
        <f>IF(A27="","",COUNTIF(TestCases!$B$2:$B$1001,A27))</f>
        <v/>
      </c>
      <c r="D27" s="5">
        <f>IF(A27="","",COUNTIFS(TestCases!$B$2:$B$1001,A27,TestCases!$K$2:$K$1001,"Approved"))</f>
        <v/>
      </c>
      <c r="E27" s="5">
        <f>IF(A27="","",COUNTIFS(TestCases!$B$2:$B$1001,A27,TestCases!$N$2:$N$1001,"Passed"))</f>
        <v/>
      </c>
      <c r="F27" s="5">
        <f>IF(A27="","",COUNTIFS(TestCases!$B$2:$B$1001,A27,TestCases!$N$2:$N$1001,"Failed")+COUNTIFS(TestCases!$B$2:$B$1001,A27,TestCases!$N$2:$N$1001,"Timed out"))</f>
        <v/>
      </c>
      <c r="G27" s="5">
        <f>IF(A27="","",C27-E27-F27-COUNTIFS(TestCases!$B$2:$B$1001,A27,TestCases!$N$2:$N$1001,"Flaky"))</f>
        <v/>
      </c>
      <c r="H27" s="5">
        <f>IF(A27="","",IF(C27=0,"No tests",IF(F27&gt;0,"Failing",IF(E27=C27,"Verified","In progress"))))</f>
        <v/>
      </c>
    </row>
    <row r="28">
      <c r="A28" s="5">
        <f>IF(Requirements!A28="","",Requirements!A28)</f>
        <v/>
      </c>
      <c r="B28" s="5">
        <f>IF(A28="","",Requirements!B28)</f>
        <v/>
      </c>
      <c r="C28" s="5">
        <f>IF(A28="","",COUNTIF(TestCases!$B$2:$B$1001,A28))</f>
        <v/>
      </c>
      <c r="D28" s="5">
        <f>IF(A28="","",COUNTIFS(TestCases!$B$2:$B$1001,A28,TestCases!$K$2:$K$1001,"Approved"))</f>
        <v/>
      </c>
      <c r="E28" s="5">
        <f>IF(A28="","",COUNTIFS(TestCases!$B$2:$B$1001,A28,TestCases!$N$2:$N$1001,"Passed"))</f>
        <v/>
      </c>
      <c r="F28" s="5">
        <f>IF(A28="","",COUNTIFS(TestCases!$B$2:$B$1001,A28,TestCases!$N$2:$N$1001,"Failed")+COUNTIFS(TestCases!$B$2:$B$1001,A28,TestCases!$N$2:$N$1001,"Timed out"))</f>
        <v/>
      </c>
      <c r="G28" s="5">
        <f>IF(A28="","",C28-E28-F28-COUNTIFS(TestCases!$B$2:$B$1001,A28,TestCases!$N$2:$N$1001,"Flaky"))</f>
        <v/>
      </c>
      <c r="H28" s="5">
        <f>IF(A28="","",IF(C28=0,"No tests",IF(F28&gt;0,"Failing",IF(E28=C28,"Verified","In progress"))))</f>
        <v/>
      </c>
    </row>
    <row r="29">
      <c r="A29" s="5">
        <f>IF(Requirements!A29="","",Requirements!A29)</f>
        <v/>
      </c>
      <c r="B29" s="5">
        <f>IF(A29="","",Requirements!B29)</f>
        <v/>
      </c>
      <c r="C29" s="5">
        <f>IF(A29="","",COUNTIF(TestCases!$B$2:$B$1001,A29))</f>
        <v/>
      </c>
      <c r="D29" s="5">
        <f>IF(A29="","",COUNTIFS(TestCases!$B$2:$B$1001,A29,TestCases!$K$2:$K$1001,"Approved"))</f>
        <v/>
      </c>
      <c r="E29" s="5">
        <f>IF(A29="","",COUNTIFS(TestCases!$B$2:$B$1001,A29,TestCases!$N$2:$N$1001,"Passed"))</f>
        <v/>
      </c>
      <c r="F29" s="5">
        <f>IF(A29="","",COUNTIFS(TestCases!$B$2:$B$1001,A29,TestCases!$N$2:$N$1001,"Failed")+COUNTIFS(TestCases!$B$2:$B$1001,A29,TestCases!$N$2:$N$1001,"Timed out"))</f>
        <v/>
      </c>
      <c r="G29" s="5">
        <f>IF(A29="","",C29-E29-F29-COUNTIFS(TestCases!$B$2:$B$1001,A29,TestCases!$N$2:$N$1001,"Flaky"))</f>
        <v/>
      </c>
      <c r="H29" s="5">
        <f>IF(A29="","",IF(C29=0,"No tests",IF(F29&gt;0,"Failing",IF(E29=C29,"Verified","In progress"))))</f>
        <v/>
      </c>
    </row>
    <row r="30">
      <c r="A30" s="5">
        <f>IF(Requirements!A30="","",Requirements!A30)</f>
        <v/>
      </c>
      <c r="B30" s="5">
        <f>IF(A30="","",Requirements!B30)</f>
        <v/>
      </c>
      <c r="C30" s="5">
        <f>IF(A30="","",COUNTIF(TestCases!$B$2:$B$1001,A30))</f>
        <v/>
      </c>
      <c r="D30" s="5">
        <f>IF(A30="","",COUNTIFS(TestCases!$B$2:$B$1001,A30,TestCases!$K$2:$K$1001,"Approved"))</f>
        <v/>
      </c>
      <c r="E30" s="5">
        <f>IF(A30="","",COUNTIFS(TestCases!$B$2:$B$1001,A30,TestCases!$N$2:$N$1001,"Passed"))</f>
        <v/>
      </c>
      <c r="F30" s="5">
        <f>IF(A30="","",COUNTIFS(TestCases!$B$2:$B$1001,A30,TestCases!$N$2:$N$1001,"Failed")+COUNTIFS(TestCases!$B$2:$B$1001,A30,TestCases!$N$2:$N$1001,"Timed out"))</f>
        <v/>
      </c>
      <c r="G30" s="5">
        <f>IF(A30="","",C30-E30-F30-COUNTIFS(TestCases!$B$2:$B$1001,A30,TestCases!$N$2:$N$1001,"Flaky"))</f>
        <v/>
      </c>
      <c r="H30" s="5">
        <f>IF(A30="","",IF(C30=0,"No tests",IF(F30&gt;0,"Failing",IF(E30=C30,"Verified","In progress"))))</f>
        <v/>
      </c>
    </row>
    <row r="31">
      <c r="A31" s="5">
        <f>IF(Requirements!A31="","",Requirements!A31)</f>
        <v/>
      </c>
      <c r="B31" s="5">
        <f>IF(A31="","",Requirements!B31)</f>
        <v/>
      </c>
      <c r="C31" s="5">
        <f>IF(A31="","",COUNTIF(TestCases!$B$2:$B$1001,A31))</f>
        <v/>
      </c>
      <c r="D31" s="5">
        <f>IF(A31="","",COUNTIFS(TestCases!$B$2:$B$1001,A31,TestCases!$K$2:$K$1001,"Approved"))</f>
        <v/>
      </c>
      <c r="E31" s="5">
        <f>IF(A31="","",COUNTIFS(TestCases!$B$2:$B$1001,A31,TestCases!$N$2:$N$1001,"Passed"))</f>
        <v/>
      </c>
      <c r="F31" s="5">
        <f>IF(A31="","",COUNTIFS(TestCases!$B$2:$B$1001,A31,TestCases!$N$2:$N$1001,"Failed")+COUNTIFS(TestCases!$B$2:$B$1001,A31,TestCases!$N$2:$N$1001,"Timed out"))</f>
        <v/>
      </c>
      <c r="G31" s="5">
        <f>IF(A31="","",C31-E31-F31-COUNTIFS(TestCases!$B$2:$B$1001,A31,TestCases!$N$2:$N$1001,"Flaky"))</f>
        <v/>
      </c>
      <c r="H31" s="5">
        <f>IF(A31="","",IF(C31=0,"No tests",IF(F31&gt;0,"Failing",IF(E31=C31,"Verified","In progress"))))</f>
        <v/>
      </c>
    </row>
    <row r="32">
      <c r="A32" s="5">
        <f>IF(Requirements!A32="","",Requirements!A32)</f>
        <v/>
      </c>
      <c r="B32" s="5">
        <f>IF(A32="","",Requirements!B32)</f>
        <v/>
      </c>
      <c r="C32" s="5">
        <f>IF(A32="","",COUNTIF(TestCases!$B$2:$B$1001,A32))</f>
        <v/>
      </c>
      <c r="D32" s="5">
        <f>IF(A32="","",COUNTIFS(TestCases!$B$2:$B$1001,A32,TestCases!$K$2:$K$1001,"Approved"))</f>
        <v/>
      </c>
      <c r="E32" s="5">
        <f>IF(A32="","",COUNTIFS(TestCases!$B$2:$B$1001,A32,TestCases!$N$2:$N$1001,"Passed"))</f>
        <v/>
      </c>
      <c r="F32" s="5">
        <f>IF(A32="","",COUNTIFS(TestCases!$B$2:$B$1001,A32,TestCases!$N$2:$N$1001,"Failed")+COUNTIFS(TestCases!$B$2:$B$1001,A32,TestCases!$N$2:$N$1001,"Timed out"))</f>
        <v/>
      </c>
      <c r="G32" s="5">
        <f>IF(A32="","",C32-E32-F32-COUNTIFS(TestCases!$B$2:$B$1001,A32,TestCases!$N$2:$N$1001,"Flaky"))</f>
        <v/>
      </c>
      <c r="H32" s="5">
        <f>IF(A32="","",IF(C32=0,"No tests",IF(F32&gt;0,"Failing",IF(E32=C32,"Verified","In progress"))))</f>
        <v/>
      </c>
    </row>
    <row r="33">
      <c r="A33" s="5">
        <f>IF(Requirements!A33="","",Requirements!A33)</f>
        <v/>
      </c>
      <c r="B33" s="5">
        <f>IF(A33="","",Requirements!B33)</f>
        <v/>
      </c>
      <c r="C33" s="5">
        <f>IF(A33="","",COUNTIF(TestCases!$B$2:$B$1001,A33))</f>
        <v/>
      </c>
      <c r="D33" s="5">
        <f>IF(A33="","",COUNTIFS(TestCases!$B$2:$B$1001,A33,TestCases!$K$2:$K$1001,"Approved"))</f>
        <v/>
      </c>
      <c r="E33" s="5">
        <f>IF(A33="","",COUNTIFS(TestCases!$B$2:$B$1001,A33,TestCases!$N$2:$N$1001,"Passed"))</f>
        <v/>
      </c>
      <c r="F33" s="5">
        <f>IF(A33="","",COUNTIFS(TestCases!$B$2:$B$1001,A33,TestCases!$N$2:$N$1001,"Failed")+COUNTIFS(TestCases!$B$2:$B$1001,A33,TestCases!$N$2:$N$1001,"Timed out"))</f>
        <v/>
      </c>
      <c r="G33" s="5">
        <f>IF(A33="","",C33-E33-F33-COUNTIFS(TestCases!$B$2:$B$1001,A33,TestCases!$N$2:$N$1001,"Flaky"))</f>
        <v/>
      </c>
      <c r="H33" s="5">
        <f>IF(A33="","",IF(C33=0,"No tests",IF(F33&gt;0,"Failing",IF(E33=C33,"Verified","In progress"))))</f>
        <v/>
      </c>
    </row>
    <row r="34">
      <c r="A34" s="5">
        <f>IF(Requirements!A34="","",Requirements!A34)</f>
        <v/>
      </c>
      <c r="B34" s="5">
        <f>IF(A34="","",Requirements!B34)</f>
        <v/>
      </c>
      <c r="C34" s="5">
        <f>IF(A34="","",COUNTIF(TestCases!$B$2:$B$1001,A34))</f>
        <v/>
      </c>
      <c r="D34" s="5">
        <f>IF(A34="","",COUNTIFS(TestCases!$B$2:$B$1001,A34,TestCases!$K$2:$K$1001,"Approved"))</f>
        <v/>
      </c>
      <c r="E34" s="5">
        <f>IF(A34="","",COUNTIFS(TestCases!$B$2:$B$1001,A34,TestCases!$N$2:$N$1001,"Passed"))</f>
        <v/>
      </c>
      <c r="F34" s="5">
        <f>IF(A34="","",COUNTIFS(TestCases!$B$2:$B$1001,A34,TestCases!$N$2:$N$1001,"Failed")+COUNTIFS(TestCases!$B$2:$B$1001,A34,TestCases!$N$2:$N$1001,"Timed out"))</f>
        <v/>
      </c>
      <c r="G34" s="5">
        <f>IF(A34="","",C34-E34-F34-COUNTIFS(TestCases!$B$2:$B$1001,A34,TestCases!$N$2:$N$1001,"Flaky"))</f>
        <v/>
      </c>
      <c r="H34" s="5">
        <f>IF(A34="","",IF(C34=0,"No tests",IF(F34&gt;0,"Failing",IF(E34=C34,"Verified","In progress"))))</f>
        <v/>
      </c>
    </row>
    <row r="35">
      <c r="A35" s="5">
        <f>IF(Requirements!A35="","",Requirements!A35)</f>
        <v/>
      </c>
      <c r="B35" s="5">
        <f>IF(A35="","",Requirements!B35)</f>
        <v/>
      </c>
      <c r="C35" s="5">
        <f>IF(A35="","",COUNTIF(TestCases!$B$2:$B$1001,A35))</f>
        <v/>
      </c>
      <c r="D35" s="5">
        <f>IF(A35="","",COUNTIFS(TestCases!$B$2:$B$1001,A35,TestCases!$K$2:$K$1001,"Approved"))</f>
        <v/>
      </c>
      <c r="E35" s="5">
        <f>IF(A35="","",COUNTIFS(TestCases!$B$2:$B$1001,A35,TestCases!$N$2:$N$1001,"Passed"))</f>
        <v/>
      </c>
      <c r="F35" s="5">
        <f>IF(A35="","",COUNTIFS(TestCases!$B$2:$B$1001,A35,TestCases!$N$2:$N$1001,"Failed")+COUNTIFS(TestCases!$B$2:$B$1001,A35,TestCases!$N$2:$N$1001,"Timed out"))</f>
        <v/>
      </c>
      <c r="G35" s="5">
        <f>IF(A35="","",C35-E35-F35-COUNTIFS(TestCases!$B$2:$B$1001,A35,TestCases!$N$2:$N$1001,"Flaky"))</f>
        <v/>
      </c>
      <c r="H35" s="5">
        <f>IF(A35="","",IF(C35=0,"No tests",IF(F35&gt;0,"Failing",IF(E35=C35,"Verified","In progress"))))</f>
        <v/>
      </c>
    </row>
    <row r="36">
      <c r="A36" s="5">
        <f>IF(Requirements!A36="","",Requirements!A36)</f>
        <v/>
      </c>
      <c r="B36" s="5">
        <f>IF(A36="","",Requirements!B36)</f>
        <v/>
      </c>
      <c r="C36" s="5">
        <f>IF(A36="","",COUNTIF(TestCases!$B$2:$B$1001,A36))</f>
        <v/>
      </c>
      <c r="D36" s="5">
        <f>IF(A36="","",COUNTIFS(TestCases!$B$2:$B$1001,A36,TestCases!$K$2:$K$1001,"Approved"))</f>
        <v/>
      </c>
      <c r="E36" s="5">
        <f>IF(A36="","",COUNTIFS(TestCases!$B$2:$B$1001,A36,TestCases!$N$2:$N$1001,"Passed"))</f>
        <v/>
      </c>
      <c r="F36" s="5">
        <f>IF(A36="","",COUNTIFS(TestCases!$B$2:$B$1001,A36,TestCases!$N$2:$N$1001,"Failed")+COUNTIFS(TestCases!$B$2:$B$1001,A36,TestCases!$N$2:$N$1001,"Timed out"))</f>
        <v/>
      </c>
      <c r="G36" s="5">
        <f>IF(A36="","",C36-E36-F36-COUNTIFS(TestCases!$B$2:$B$1001,A36,TestCases!$N$2:$N$1001,"Flaky"))</f>
        <v/>
      </c>
      <c r="H36" s="5">
        <f>IF(A36="","",IF(C36=0,"No tests",IF(F36&gt;0,"Failing",IF(E36=C36,"Verified","In progress"))))</f>
        <v/>
      </c>
    </row>
    <row r="37">
      <c r="A37" s="5">
        <f>IF(Requirements!A37="","",Requirements!A37)</f>
        <v/>
      </c>
      <c r="B37" s="5">
        <f>IF(A37="","",Requirements!B37)</f>
        <v/>
      </c>
      <c r="C37" s="5">
        <f>IF(A37="","",COUNTIF(TestCases!$B$2:$B$1001,A37))</f>
        <v/>
      </c>
      <c r="D37" s="5">
        <f>IF(A37="","",COUNTIFS(TestCases!$B$2:$B$1001,A37,TestCases!$K$2:$K$1001,"Approved"))</f>
        <v/>
      </c>
      <c r="E37" s="5">
        <f>IF(A37="","",COUNTIFS(TestCases!$B$2:$B$1001,A37,TestCases!$N$2:$N$1001,"Passed"))</f>
        <v/>
      </c>
      <c r="F37" s="5">
        <f>IF(A37="","",COUNTIFS(TestCases!$B$2:$B$1001,A37,TestCases!$N$2:$N$1001,"Failed")+COUNTIFS(TestCases!$B$2:$B$1001,A37,TestCases!$N$2:$N$1001,"Timed out"))</f>
        <v/>
      </c>
      <c r="G37" s="5">
        <f>IF(A37="","",C37-E37-F37-COUNTIFS(TestCases!$B$2:$B$1001,A37,TestCases!$N$2:$N$1001,"Flaky"))</f>
        <v/>
      </c>
      <c r="H37" s="5">
        <f>IF(A37="","",IF(C37=0,"No tests",IF(F37&gt;0,"Failing",IF(E37=C37,"Verified","In progress"))))</f>
        <v/>
      </c>
    </row>
    <row r="38">
      <c r="A38" s="5">
        <f>IF(Requirements!A38="","",Requirements!A38)</f>
        <v/>
      </c>
      <c r="B38" s="5">
        <f>IF(A38="","",Requirements!B38)</f>
        <v/>
      </c>
      <c r="C38" s="5">
        <f>IF(A38="","",COUNTIF(TestCases!$B$2:$B$1001,A38))</f>
        <v/>
      </c>
      <c r="D38" s="5">
        <f>IF(A38="","",COUNTIFS(TestCases!$B$2:$B$1001,A38,TestCases!$K$2:$K$1001,"Approved"))</f>
        <v/>
      </c>
      <c r="E38" s="5">
        <f>IF(A38="","",COUNTIFS(TestCases!$B$2:$B$1001,A38,TestCases!$N$2:$N$1001,"Passed"))</f>
        <v/>
      </c>
      <c r="F38" s="5">
        <f>IF(A38="","",COUNTIFS(TestCases!$B$2:$B$1001,A38,TestCases!$N$2:$N$1001,"Failed")+COUNTIFS(TestCases!$B$2:$B$1001,A38,TestCases!$N$2:$N$1001,"Timed out"))</f>
        <v/>
      </c>
      <c r="G38" s="5">
        <f>IF(A38="","",C38-E38-F38-COUNTIFS(TestCases!$B$2:$B$1001,A38,TestCases!$N$2:$N$1001,"Flaky"))</f>
        <v/>
      </c>
      <c r="H38" s="5">
        <f>IF(A38="","",IF(C38=0,"No tests",IF(F38&gt;0,"Failing",IF(E38=C38,"Verified","In progress"))))</f>
        <v/>
      </c>
    </row>
    <row r="39">
      <c r="A39" s="5">
        <f>IF(Requirements!A39="","",Requirements!A39)</f>
        <v/>
      </c>
      <c r="B39" s="5">
        <f>IF(A39="","",Requirements!B39)</f>
        <v/>
      </c>
      <c r="C39" s="5">
        <f>IF(A39="","",COUNTIF(TestCases!$B$2:$B$1001,A39))</f>
        <v/>
      </c>
      <c r="D39" s="5">
        <f>IF(A39="","",COUNTIFS(TestCases!$B$2:$B$1001,A39,TestCases!$K$2:$K$1001,"Approved"))</f>
        <v/>
      </c>
      <c r="E39" s="5">
        <f>IF(A39="","",COUNTIFS(TestCases!$B$2:$B$1001,A39,TestCases!$N$2:$N$1001,"Passed"))</f>
        <v/>
      </c>
      <c r="F39" s="5">
        <f>IF(A39="","",COUNTIFS(TestCases!$B$2:$B$1001,A39,TestCases!$N$2:$N$1001,"Failed")+COUNTIFS(TestCases!$B$2:$B$1001,A39,TestCases!$N$2:$N$1001,"Timed out"))</f>
        <v/>
      </c>
      <c r="G39" s="5">
        <f>IF(A39="","",C39-E39-F39-COUNTIFS(TestCases!$B$2:$B$1001,A39,TestCases!$N$2:$N$1001,"Flaky"))</f>
        <v/>
      </c>
      <c r="H39" s="5">
        <f>IF(A39="","",IF(C39=0,"No tests",IF(F39&gt;0,"Failing",IF(E39=C39,"Verified","In progress"))))</f>
        <v/>
      </c>
    </row>
    <row r="40">
      <c r="A40" s="5">
        <f>IF(Requirements!A40="","",Requirements!A40)</f>
        <v/>
      </c>
      <c r="B40" s="5">
        <f>IF(A40="","",Requirements!B40)</f>
        <v/>
      </c>
      <c r="C40" s="5">
        <f>IF(A40="","",COUNTIF(TestCases!$B$2:$B$1001,A40))</f>
        <v/>
      </c>
      <c r="D40" s="5">
        <f>IF(A40="","",COUNTIFS(TestCases!$B$2:$B$1001,A40,TestCases!$K$2:$K$1001,"Approved"))</f>
        <v/>
      </c>
      <c r="E40" s="5">
        <f>IF(A40="","",COUNTIFS(TestCases!$B$2:$B$1001,A40,TestCases!$N$2:$N$1001,"Passed"))</f>
        <v/>
      </c>
      <c r="F40" s="5">
        <f>IF(A40="","",COUNTIFS(TestCases!$B$2:$B$1001,A40,TestCases!$N$2:$N$1001,"Failed")+COUNTIFS(TestCases!$B$2:$B$1001,A40,TestCases!$N$2:$N$1001,"Timed out"))</f>
        <v/>
      </c>
      <c r="G40" s="5">
        <f>IF(A40="","",C40-E40-F40-COUNTIFS(TestCases!$B$2:$B$1001,A40,TestCases!$N$2:$N$1001,"Flaky"))</f>
        <v/>
      </c>
      <c r="H40" s="5">
        <f>IF(A40="","",IF(C40=0,"No tests",IF(F40&gt;0,"Failing",IF(E40=C40,"Verified","In progress"))))</f>
        <v/>
      </c>
    </row>
    <row r="41">
      <c r="A41" s="5">
        <f>IF(Requirements!A41="","",Requirements!A41)</f>
        <v/>
      </c>
      <c r="B41" s="5">
        <f>IF(A41="","",Requirements!B41)</f>
        <v/>
      </c>
      <c r="C41" s="5">
        <f>IF(A41="","",COUNTIF(TestCases!$B$2:$B$1001,A41))</f>
        <v/>
      </c>
      <c r="D41" s="5">
        <f>IF(A41="","",COUNTIFS(TestCases!$B$2:$B$1001,A41,TestCases!$K$2:$K$1001,"Approved"))</f>
        <v/>
      </c>
      <c r="E41" s="5">
        <f>IF(A41="","",COUNTIFS(TestCases!$B$2:$B$1001,A41,TestCases!$N$2:$N$1001,"Passed"))</f>
        <v/>
      </c>
      <c r="F41" s="5">
        <f>IF(A41="","",COUNTIFS(TestCases!$B$2:$B$1001,A41,TestCases!$N$2:$N$1001,"Failed")+COUNTIFS(TestCases!$B$2:$B$1001,A41,TestCases!$N$2:$N$1001,"Timed out"))</f>
        <v/>
      </c>
      <c r="G41" s="5">
        <f>IF(A41="","",C41-E41-F41-COUNTIFS(TestCases!$B$2:$B$1001,A41,TestCases!$N$2:$N$1001,"Flaky"))</f>
        <v/>
      </c>
      <c r="H41" s="5">
        <f>IF(A41="","",IF(C41=0,"No tests",IF(F41&gt;0,"Failing",IF(E41=C41,"Verified","In progress"))))</f>
        <v/>
      </c>
    </row>
    <row r="42">
      <c r="A42" s="5">
        <f>IF(Requirements!A42="","",Requirements!A42)</f>
        <v/>
      </c>
      <c r="B42" s="5">
        <f>IF(A42="","",Requirements!B42)</f>
        <v/>
      </c>
      <c r="C42" s="5">
        <f>IF(A42="","",COUNTIF(TestCases!$B$2:$B$1001,A42))</f>
        <v/>
      </c>
      <c r="D42" s="5">
        <f>IF(A42="","",COUNTIFS(TestCases!$B$2:$B$1001,A42,TestCases!$K$2:$K$1001,"Approved"))</f>
        <v/>
      </c>
      <c r="E42" s="5">
        <f>IF(A42="","",COUNTIFS(TestCases!$B$2:$B$1001,A42,TestCases!$N$2:$N$1001,"Passed"))</f>
        <v/>
      </c>
      <c r="F42" s="5">
        <f>IF(A42="","",COUNTIFS(TestCases!$B$2:$B$1001,A42,TestCases!$N$2:$N$1001,"Failed")+COUNTIFS(TestCases!$B$2:$B$1001,A42,TestCases!$N$2:$N$1001,"Timed out"))</f>
        <v/>
      </c>
      <c r="G42" s="5">
        <f>IF(A42="","",C42-E42-F42-COUNTIFS(TestCases!$B$2:$B$1001,A42,TestCases!$N$2:$N$1001,"Flaky"))</f>
        <v/>
      </c>
      <c r="H42" s="5">
        <f>IF(A42="","",IF(C42=0,"No tests",IF(F42&gt;0,"Failing",IF(E42=C42,"Verified","In progress"))))</f>
        <v/>
      </c>
    </row>
    <row r="43">
      <c r="A43" s="5">
        <f>IF(Requirements!A43="","",Requirements!A43)</f>
        <v/>
      </c>
      <c r="B43" s="5">
        <f>IF(A43="","",Requirements!B43)</f>
        <v/>
      </c>
      <c r="C43" s="5">
        <f>IF(A43="","",COUNTIF(TestCases!$B$2:$B$1001,A43))</f>
        <v/>
      </c>
      <c r="D43" s="5">
        <f>IF(A43="","",COUNTIFS(TestCases!$B$2:$B$1001,A43,TestCases!$K$2:$K$1001,"Approved"))</f>
        <v/>
      </c>
      <c r="E43" s="5">
        <f>IF(A43="","",COUNTIFS(TestCases!$B$2:$B$1001,A43,TestCases!$N$2:$N$1001,"Passed"))</f>
        <v/>
      </c>
      <c r="F43" s="5">
        <f>IF(A43="","",COUNTIFS(TestCases!$B$2:$B$1001,A43,TestCases!$N$2:$N$1001,"Failed")+COUNTIFS(TestCases!$B$2:$B$1001,A43,TestCases!$N$2:$N$1001,"Timed out"))</f>
        <v/>
      </c>
      <c r="G43" s="5">
        <f>IF(A43="","",C43-E43-F43-COUNTIFS(TestCases!$B$2:$B$1001,A43,TestCases!$N$2:$N$1001,"Flaky"))</f>
        <v/>
      </c>
      <c r="H43" s="5">
        <f>IF(A43="","",IF(C43=0,"No tests",IF(F43&gt;0,"Failing",IF(E43=C43,"Verified","In progress"))))</f>
        <v/>
      </c>
    </row>
    <row r="44">
      <c r="A44" s="5">
        <f>IF(Requirements!A44="","",Requirements!A44)</f>
        <v/>
      </c>
      <c r="B44" s="5">
        <f>IF(A44="","",Requirements!B44)</f>
        <v/>
      </c>
      <c r="C44" s="5">
        <f>IF(A44="","",COUNTIF(TestCases!$B$2:$B$1001,A44))</f>
        <v/>
      </c>
      <c r="D44" s="5">
        <f>IF(A44="","",COUNTIFS(TestCases!$B$2:$B$1001,A44,TestCases!$K$2:$K$1001,"Approved"))</f>
        <v/>
      </c>
      <c r="E44" s="5">
        <f>IF(A44="","",COUNTIFS(TestCases!$B$2:$B$1001,A44,TestCases!$N$2:$N$1001,"Passed"))</f>
        <v/>
      </c>
      <c r="F44" s="5">
        <f>IF(A44="","",COUNTIFS(TestCases!$B$2:$B$1001,A44,TestCases!$N$2:$N$1001,"Failed")+COUNTIFS(TestCases!$B$2:$B$1001,A44,TestCases!$N$2:$N$1001,"Timed out"))</f>
        <v/>
      </c>
      <c r="G44" s="5">
        <f>IF(A44="","",C44-E44-F44-COUNTIFS(TestCases!$B$2:$B$1001,A44,TestCases!$N$2:$N$1001,"Flaky"))</f>
        <v/>
      </c>
      <c r="H44" s="5">
        <f>IF(A44="","",IF(C44=0,"No tests",IF(F44&gt;0,"Failing",IF(E44=C44,"Verified","In progress"))))</f>
        <v/>
      </c>
    </row>
    <row r="45">
      <c r="A45" s="5">
        <f>IF(Requirements!A45="","",Requirements!A45)</f>
        <v/>
      </c>
      <c r="B45" s="5">
        <f>IF(A45="","",Requirements!B45)</f>
        <v/>
      </c>
      <c r="C45" s="5">
        <f>IF(A45="","",COUNTIF(TestCases!$B$2:$B$1001,A45))</f>
        <v/>
      </c>
      <c r="D45" s="5">
        <f>IF(A45="","",COUNTIFS(TestCases!$B$2:$B$1001,A45,TestCases!$K$2:$K$1001,"Approved"))</f>
        <v/>
      </c>
      <c r="E45" s="5">
        <f>IF(A45="","",COUNTIFS(TestCases!$B$2:$B$1001,A45,TestCases!$N$2:$N$1001,"Passed"))</f>
        <v/>
      </c>
      <c r="F45" s="5">
        <f>IF(A45="","",COUNTIFS(TestCases!$B$2:$B$1001,A45,TestCases!$N$2:$N$1001,"Failed")+COUNTIFS(TestCases!$B$2:$B$1001,A45,TestCases!$N$2:$N$1001,"Timed out"))</f>
        <v/>
      </c>
      <c r="G45" s="5">
        <f>IF(A45="","",C45-E45-F45-COUNTIFS(TestCases!$B$2:$B$1001,A45,TestCases!$N$2:$N$1001,"Flaky"))</f>
        <v/>
      </c>
      <c r="H45" s="5">
        <f>IF(A45="","",IF(C45=0,"No tests",IF(F45&gt;0,"Failing",IF(E45=C45,"Verified","In progress"))))</f>
        <v/>
      </c>
    </row>
    <row r="46">
      <c r="A46" s="5">
        <f>IF(Requirements!A46="","",Requirements!A46)</f>
        <v/>
      </c>
      <c r="B46" s="5">
        <f>IF(A46="","",Requirements!B46)</f>
        <v/>
      </c>
      <c r="C46" s="5">
        <f>IF(A46="","",COUNTIF(TestCases!$B$2:$B$1001,A46))</f>
        <v/>
      </c>
      <c r="D46" s="5">
        <f>IF(A46="","",COUNTIFS(TestCases!$B$2:$B$1001,A46,TestCases!$K$2:$K$1001,"Approved"))</f>
        <v/>
      </c>
      <c r="E46" s="5">
        <f>IF(A46="","",COUNTIFS(TestCases!$B$2:$B$1001,A46,TestCases!$N$2:$N$1001,"Passed"))</f>
        <v/>
      </c>
      <c r="F46" s="5">
        <f>IF(A46="","",COUNTIFS(TestCases!$B$2:$B$1001,A46,TestCases!$N$2:$N$1001,"Failed")+COUNTIFS(TestCases!$B$2:$B$1001,A46,TestCases!$N$2:$N$1001,"Timed out"))</f>
        <v/>
      </c>
      <c r="G46" s="5">
        <f>IF(A46="","",C46-E46-F46-COUNTIFS(TestCases!$B$2:$B$1001,A46,TestCases!$N$2:$N$1001,"Flaky"))</f>
        <v/>
      </c>
      <c r="H46" s="5">
        <f>IF(A46="","",IF(C46=0,"No tests",IF(F46&gt;0,"Failing",IF(E46=C46,"Verified","In progress"))))</f>
        <v/>
      </c>
    </row>
    <row r="47">
      <c r="A47" s="5">
        <f>IF(Requirements!A47="","",Requirements!A47)</f>
        <v/>
      </c>
      <c r="B47" s="5">
        <f>IF(A47="","",Requirements!B47)</f>
        <v/>
      </c>
      <c r="C47" s="5">
        <f>IF(A47="","",COUNTIF(TestCases!$B$2:$B$1001,A47))</f>
        <v/>
      </c>
      <c r="D47" s="5">
        <f>IF(A47="","",COUNTIFS(TestCases!$B$2:$B$1001,A47,TestCases!$K$2:$K$1001,"Approved"))</f>
        <v/>
      </c>
      <c r="E47" s="5">
        <f>IF(A47="","",COUNTIFS(TestCases!$B$2:$B$1001,A47,TestCases!$N$2:$N$1001,"Passed"))</f>
        <v/>
      </c>
      <c r="F47" s="5">
        <f>IF(A47="","",COUNTIFS(TestCases!$B$2:$B$1001,A47,TestCases!$N$2:$N$1001,"Failed")+COUNTIFS(TestCases!$B$2:$B$1001,A47,TestCases!$N$2:$N$1001,"Timed out"))</f>
        <v/>
      </c>
      <c r="G47" s="5">
        <f>IF(A47="","",C47-E47-F47-COUNTIFS(TestCases!$B$2:$B$1001,A47,TestCases!$N$2:$N$1001,"Flaky"))</f>
        <v/>
      </c>
      <c r="H47" s="5">
        <f>IF(A47="","",IF(C47=0,"No tests",IF(F47&gt;0,"Failing",IF(E47=C47,"Verified","In progress"))))</f>
        <v/>
      </c>
    </row>
    <row r="48">
      <c r="A48" s="5">
        <f>IF(Requirements!A48="","",Requirements!A48)</f>
        <v/>
      </c>
      <c r="B48" s="5">
        <f>IF(A48="","",Requirements!B48)</f>
        <v/>
      </c>
      <c r="C48" s="5">
        <f>IF(A48="","",COUNTIF(TestCases!$B$2:$B$1001,A48))</f>
        <v/>
      </c>
      <c r="D48" s="5">
        <f>IF(A48="","",COUNTIFS(TestCases!$B$2:$B$1001,A48,TestCases!$K$2:$K$1001,"Approved"))</f>
        <v/>
      </c>
      <c r="E48" s="5">
        <f>IF(A48="","",COUNTIFS(TestCases!$B$2:$B$1001,A48,TestCases!$N$2:$N$1001,"Passed"))</f>
        <v/>
      </c>
      <c r="F48" s="5">
        <f>IF(A48="","",COUNTIFS(TestCases!$B$2:$B$1001,A48,TestCases!$N$2:$N$1001,"Failed")+COUNTIFS(TestCases!$B$2:$B$1001,A48,TestCases!$N$2:$N$1001,"Timed out"))</f>
        <v/>
      </c>
      <c r="G48" s="5">
        <f>IF(A48="","",C48-E48-F48-COUNTIFS(TestCases!$B$2:$B$1001,A48,TestCases!$N$2:$N$1001,"Flaky"))</f>
        <v/>
      </c>
      <c r="H48" s="5">
        <f>IF(A48="","",IF(C48=0,"No tests",IF(F48&gt;0,"Failing",IF(E48=C48,"Verified","In progress"))))</f>
        <v/>
      </c>
    </row>
    <row r="49">
      <c r="A49" s="5">
        <f>IF(Requirements!A49="","",Requirements!A49)</f>
        <v/>
      </c>
      <c r="B49" s="5">
        <f>IF(A49="","",Requirements!B49)</f>
        <v/>
      </c>
      <c r="C49" s="5">
        <f>IF(A49="","",COUNTIF(TestCases!$B$2:$B$1001,A49))</f>
        <v/>
      </c>
      <c r="D49" s="5">
        <f>IF(A49="","",COUNTIFS(TestCases!$B$2:$B$1001,A49,TestCases!$K$2:$K$1001,"Approved"))</f>
        <v/>
      </c>
      <c r="E49" s="5">
        <f>IF(A49="","",COUNTIFS(TestCases!$B$2:$B$1001,A49,TestCases!$N$2:$N$1001,"Passed"))</f>
        <v/>
      </c>
      <c r="F49" s="5">
        <f>IF(A49="","",COUNTIFS(TestCases!$B$2:$B$1001,A49,TestCases!$N$2:$N$1001,"Failed")+COUNTIFS(TestCases!$B$2:$B$1001,A49,TestCases!$N$2:$N$1001,"Timed out"))</f>
        <v/>
      </c>
      <c r="G49" s="5">
        <f>IF(A49="","",C49-E49-F49-COUNTIFS(TestCases!$B$2:$B$1001,A49,TestCases!$N$2:$N$1001,"Flaky"))</f>
        <v/>
      </c>
      <c r="H49" s="5">
        <f>IF(A49="","",IF(C49=0,"No tests",IF(F49&gt;0,"Failing",IF(E49=C49,"Verified","In progress"))))</f>
        <v/>
      </c>
    </row>
    <row r="50">
      <c r="A50" s="5">
        <f>IF(Requirements!A50="","",Requirements!A50)</f>
        <v/>
      </c>
      <c r="B50" s="5">
        <f>IF(A50="","",Requirements!B50)</f>
        <v/>
      </c>
      <c r="C50" s="5">
        <f>IF(A50="","",COUNTIF(TestCases!$B$2:$B$1001,A50))</f>
        <v/>
      </c>
      <c r="D50" s="5">
        <f>IF(A50="","",COUNTIFS(TestCases!$B$2:$B$1001,A50,TestCases!$K$2:$K$1001,"Approved"))</f>
        <v/>
      </c>
      <c r="E50" s="5">
        <f>IF(A50="","",COUNTIFS(TestCases!$B$2:$B$1001,A50,TestCases!$N$2:$N$1001,"Passed"))</f>
        <v/>
      </c>
      <c r="F50" s="5">
        <f>IF(A50="","",COUNTIFS(TestCases!$B$2:$B$1001,A50,TestCases!$N$2:$N$1001,"Failed")+COUNTIFS(TestCases!$B$2:$B$1001,A50,TestCases!$N$2:$N$1001,"Timed out"))</f>
        <v/>
      </c>
      <c r="G50" s="5">
        <f>IF(A50="","",C50-E50-F50-COUNTIFS(TestCases!$B$2:$B$1001,A50,TestCases!$N$2:$N$1001,"Flaky"))</f>
        <v/>
      </c>
      <c r="H50" s="5">
        <f>IF(A50="","",IF(C50=0,"No tests",IF(F50&gt;0,"Failing",IF(E50=C50,"Verified","In progress"))))</f>
        <v/>
      </c>
    </row>
    <row r="51">
      <c r="A51" s="5">
        <f>IF(Requirements!A51="","",Requirements!A51)</f>
        <v/>
      </c>
      <c r="B51" s="5">
        <f>IF(A51="","",Requirements!B51)</f>
        <v/>
      </c>
      <c r="C51" s="5">
        <f>IF(A51="","",COUNTIF(TestCases!$B$2:$B$1001,A51))</f>
        <v/>
      </c>
      <c r="D51" s="5">
        <f>IF(A51="","",COUNTIFS(TestCases!$B$2:$B$1001,A51,TestCases!$K$2:$K$1001,"Approved"))</f>
        <v/>
      </c>
      <c r="E51" s="5">
        <f>IF(A51="","",COUNTIFS(TestCases!$B$2:$B$1001,A51,TestCases!$N$2:$N$1001,"Passed"))</f>
        <v/>
      </c>
      <c r="F51" s="5">
        <f>IF(A51="","",COUNTIFS(TestCases!$B$2:$B$1001,A51,TestCases!$N$2:$N$1001,"Failed")+COUNTIFS(TestCases!$B$2:$B$1001,A51,TestCases!$N$2:$N$1001,"Timed out"))</f>
        <v/>
      </c>
      <c r="G51" s="5">
        <f>IF(A51="","",C51-E51-F51-COUNTIFS(TestCases!$B$2:$B$1001,A51,TestCases!$N$2:$N$1001,"Flaky"))</f>
        <v/>
      </c>
      <c r="H51" s="5">
        <f>IF(A51="","",IF(C51=0,"No tests",IF(F51&gt;0,"Failing",IF(E51=C51,"Verified","In progress"))))</f>
        <v/>
      </c>
    </row>
    <row r="52">
      <c r="A52" s="5">
        <f>IF(Requirements!A52="","",Requirements!A52)</f>
        <v/>
      </c>
      <c r="B52" s="5">
        <f>IF(A52="","",Requirements!B52)</f>
        <v/>
      </c>
      <c r="C52" s="5">
        <f>IF(A52="","",COUNTIF(TestCases!$B$2:$B$1001,A52))</f>
        <v/>
      </c>
      <c r="D52" s="5">
        <f>IF(A52="","",COUNTIFS(TestCases!$B$2:$B$1001,A52,TestCases!$K$2:$K$1001,"Approved"))</f>
        <v/>
      </c>
      <c r="E52" s="5">
        <f>IF(A52="","",COUNTIFS(TestCases!$B$2:$B$1001,A52,TestCases!$N$2:$N$1001,"Passed"))</f>
        <v/>
      </c>
      <c r="F52" s="5">
        <f>IF(A52="","",COUNTIFS(TestCases!$B$2:$B$1001,A52,TestCases!$N$2:$N$1001,"Failed")+COUNTIFS(TestCases!$B$2:$B$1001,A52,TestCases!$N$2:$N$1001,"Timed out"))</f>
        <v/>
      </c>
      <c r="G52" s="5">
        <f>IF(A52="","",C52-E52-F52-COUNTIFS(TestCases!$B$2:$B$1001,A52,TestCases!$N$2:$N$1001,"Flaky"))</f>
        <v/>
      </c>
      <c r="H52" s="5">
        <f>IF(A52="","",IF(C52=0,"No tests",IF(F52&gt;0,"Failing",IF(E52=C52,"Verified","In progress"))))</f>
        <v/>
      </c>
    </row>
    <row r="53">
      <c r="A53" s="5">
        <f>IF(Requirements!A53="","",Requirements!A53)</f>
        <v/>
      </c>
      <c r="B53" s="5">
        <f>IF(A53="","",Requirements!B53)</f>
        <v/>
      </c>
      <c r="C53" s="5">
        <f>IF(A53="","",COUNTIF(TestCases!$B$2:$B$1001,A53))</f>
        <v/>
      </c>
      <c r="D53" s="5">
        <f>IF(A53="","",COUNTIFS(TestCases!$B$2:$B$1001,A53,TestCases!$K$2:$K$1001,"Approved"))</f>
        <v/>
      </c>
      <c r="E53" s="5">
        <f>IF(A53="","",COUNTIFS(TestCases!$B$2:$B$1001,A53,TestCases!$N$2:$N$1001,"Passed"))</f>
        <v/>
      </c>
      <c r="F53" s="5">
        <f>IF(A53="","",COUNTIFS(TestCases!$B$2:$B$1001,A53,TestCases!$N$2:$N$1001,"Failed")+COUNTIFS(TestCases!$B$2:$B$1001,A53,TestCases!$N$2:$N$1001,"Timed out"))</f>
        <v/>
      </c>
      <c r="G53" s="5">
        <f>IF(A53="","",C53-E53-F53-COUNTIFS(TestCases!$B$2:$B$1001,A53,TestCases!$N$2:$N$1001,"Flaky"))</f>
        <v/>
      </c>
      <c r="H53" s="5">
        <f>IF(A53="","",IF(C53=0,"No tests",IF(F53&gt;0,"Failing",IF(E53=C53,"Verified","In progress"))))</f>
        <v/>
      </c>
    </row>
    <row r="54">
      <c r="A54" s="5">
        <f>IF(Requirements!A54="","",Requirements!A54)</f>
        <v/>
      </c>
      <c r="B54" s="5">
        <f>IF(A54="","",Requirements!B54)</f>
        <v/>
      </c>
      <c r="C54" s="5">
        <f>IF(A54="","",COUNTIF(TestCases!$B$2:$B$1001,A54))</f>
        <v/>
      </c>
      <c r="D54" s="5">
        <f>IF(A54="","",COUNTIFS(TestCases!$B$2:$B$1001,A54,TestCases!$K$2:$K$1001,"Approved"))</f>
        <v/>
      </c>
      <c r="E54" s="5">
        <f>IF(A54="","",COUNTIFS(TestCases!$B$2:$B$1001,A54,TestCases!$N$2:$N$1001,"Passed"))</f>
        <v/>
      </c>
      <c r="F54" s="5">
        <f>IF(A54="","",COUNTIFS(TestCases!$B$2:$B$1001,A54,TestCases!$N$2:$N$1001,"Failed")+COUNTIFS(TestCases!$B$2:$B$1001,A54,TestCases!$N$2:$N$1001,"Timed out"))</f>
        <v/>
      </c>
      <c r="G54" s="5">
        <f>IF(A54="","",C54-E54-F54-COUNTIFS(TestCases!$B$2:$B$1001,A54,TestCases!$N$2:$N$1001,"Flaky"))</f>
        <v/>
      </c>
      <c r="H54" s="5">
        <f>IF(A54="","",IF(C54=0,"No tests",IF(F54&gt;0,"Failing",IF(E54=C54,"Verified","In progress"))))</f>
        <v/>
      </c>
    </row>
    <row r="55">
      <c r="A55" s="5">
        <f>IF(Requirements!A55="","",Requirements!A55)</f>
        <v/>
      </c>
      <c r="B55" s="5">
        <f>IF(A55="","",Requirements!B55)</f>
        <v/>
      </c>
      <c r="C55" s="5">
        <f>IF(A55="","",COUNTIF(TestCases!$B$2:$B$1001,A55))</f>
        <v/>
      </c>
      <c r="D55" s="5">
        <f>IF(A55="","",COUNTIFS(TestCases!$B$2:$B$1001,A55,TestCases!$K$2:$K$1001,"Approved"))</f>
        <v/>
      </c>
      <c r="E55" s="5">
        <f>IF(A55="","",COUNTIFS(TestCases!$B$2:$B$1001,A55,TestCases!$N$2:$N$1001,"Passed"))</f>
        <v/>
      </c>
      <c r="F55" s="5">
        <f>IF(A55="","",COUNTIFS(TestCases!$B$2:$B$1001,A55,TestCases!$N$2:$N$1001,"Failed")+COUNTIFS(TestCases!$B$2:$B$1001,A55,TestCases!$N$2:$N$1001,"Timed out"))</f>
        <v/>
      </c>
      <c r="G55" s="5">
        <f>IF(A55="","",C55-E55-F55-COUNTIFS(TestCases!$B$2:$B$1001,A55,TestCases!$N$2:$N$1001,"Flaky"))</f>
        <v/>
      </c>
      <c r="H55" s="5">
        <f>IF(A55="","",IF(C55=0,"No tests",IF(F55&gt;0,"Failing",IF(E55=C55,"Verified","In progress"))))</f>
        <v/>
      </c>
    </row>
    <row r="56">
      <c r="A56" s="5">
        <f>IF(Requirements!A56="","",Requirements!A56)</f>
        <v/>
      </c>
      <c r="B56" s="5">
        <f>IF(A56="","",Requirements!B56)</f>
        <v/>
      </c>
      <c r="C56" s="5">
        <f>IF(A56="","",COUNTIF(TestCases!$B$2:$B$1001,A56))</f>
        <v/>
      </c>
      <c r="D56" s="5">
        <f>IF(A56="","",COUNTIFS(TestCases!$B$2:$B$1001,A56,TestCases!$K$2:$K$1001,"Approved"))</f>
        <v/>
      </c>
      <c r="E56" s="5">
        <f>IF(A56="","",COUNTIFS(TestCases!$B$2:$B$1001,A56,TestCases!$N$2:$N$1001,"Passed"))</f>
        <v/>
      </c>
      <c r="F56" s="5">
        <f>IF(A56="","",COUNTIFS(TestCases!$B$2:$B$1001,A56,TestCases!$N$2:$N$1001,"Failed")+COUNTIFS(TestCases!$B$2:$B$1001,A56,TestCases!$N$2:$N$1001,"Timed out"))</f>
        <v/>
      </c>
      <c r="G56" s="5">
        <f>IF(A56="","",C56-E56-F56-COUNTIFS(TestCases!$B$2:$B$1001,A56,TestCases!$N$2:$N$1001,"Flaky"))</f>
        <v/>
      </c>
      <c r="H56" s="5">
        <f>IF(A56="","",IF(C56=0,"No tests",IF(F56&gt;0,"Failing",IF(E56=C56,"Verified","In progress"))))</f>
        <v/>
      </c>
    </row>
    <row r="57">
      <c r="A57" s="5">
        <f>IF(Requirements!A57="","",Requirements!A57)</f>
        <v/>
      </c>
      <c r="B57" s="5">
        <f>IF(A57="","",Requirements!B57)</f>
        <v/>
      </c>
      <c r="C57" s="5">
        <f>IF(A57="","",COUNTIF(TestCases!$B$2:$B$1001,A57))</f>
        <v/>
      </c>
      <c r="D57" s="5">
        <f>IF(A57="","",COUNTIFS(TestCases!$B$2:$B$1001,A57,TestCases!$K$2:$K$1001,"Approved"))</f>
        <v/>
      </c>
      <c r="E57" s="5">
        <f>IF(A57="","",COUNTIFS(TestCases!$B$2:$B$1001,A57,TestCases!$N$2:$N$1001,"Passed"))</f>
        <v/>
      </c>
      <c r="F57" s="5">
        <f>IF(A57="","",COUNTIFS(TestCases!$B$2:$B$1001,A57,TestCases!$N$2:$N$1001,"Failed")+COUNTIFS(TestCases!$B$2:$B$1001,A57,TestCases!$N$2:$N$1001,"Timed out"))</f>
        <v/>
      </c>
      <c r="G57" s="5">
        <f>IF(A57="","",C57-E57-F57-COUNTIFS(TestCases!$B$2:$B$1001,A57,TestCases!$N$2:$N$1001,"Flaky"))</f>
        <v/>
      </c>
      <c r="H57" s="5">
        <f>IF(A57="","",IF(C57=0,"No tests",IF(F57&gt;0,"Failing",IF(E57=C57,"Verified","In progress"))))</f>
        <v/>
      </c>
    </row>
    <row r="58">
      <c r="A58" s="5">
        <f>IF(Requirements!A58="","",Requirements!A58)</f>
        <v/>
      </c>
      <c r="B58" s="5">
        <f>IF(A58="","",Requirements!B58)</f>
        <v/>
      </c>
      <c r="C58" s="5">
        <f>IF(A58="","",COUNTIF(TestCases!$B$2:$B$1001,A58))</f>
        <v/>
      </c>
      <c r="D58" s="5">
        <f>IF(A58="","",COUNTIFS(TestCases!$B$2:$B$1001,A58,TestCases!$K$2:$K$1001,"Approved"))</f>
        <v/>
      </c>
      <c r="E58" s="5">
        <f>IF(A58="","",COUNTIFS(TestCases!$B$2:$B$1001,A58,TestCases!$N$2:$N$1001,"Passed"))</f>
        <v/>
      </c>
      <c r="F58" s="5">
        <f>IF(A58="","",COUNTIFS(TestCases!$B$2:$B$1001,A58,TestCases!$N$2:$N$1001,"Failed")+COUNTIFS(TestCases!$B$2:$B$1001,A58,TestCases!$N$2:$N$1001,"Timed out"))</f>
        <v/>
      </c>
      <c r="G58" s="5">
        <f>IF(A58="","",C58-E58-F58-COUNTIFS(TestCases!$B$2:$B$1001,A58,TestCases!$N$2:$N$1001,"Flaky"))</f>
        <v/>
      </c>
      <c r="H58" s="5">
        <f>IF(A58="","",IF(C58=0,"No tests",IF(F58&gt;0,"Failing",IF(E58=C58,"Verified","In progress"))))</f>
        <v/>
      </c>
    </row>
    <row r="59">
      <c r="A59" s="5">
        <f>IF(Requirements!A59="","",Requirements!A59)</f>
        <v/>
      </c>
      <c r="B59" s="5">
        <f>IF(A59="","",Requirements!B59)</f>
        <v/>
      </c>
      <c r="C59" s="5">
        <f>IF(A59="","",COUNTIF(TestCases!$B$2:$B$1001,A59))</f>
        <v/>
      </c>
      <c r="D59" s="5">
        <f>IF(A59="","",COUNTIFS(TestCases!$B$2:$B$1001,A59,TestCases!$K$2:$K$1001,"Approved"))</f>
        <v/>
      </c>
      <c r="E59" s="5">
        <f>IF(A59="","",COUNTIFS(TestCases!$B$2:$B$1001,A59,TestCases!$N$2:$N$1001,"Passed"))</f>
        <v/>
      </c>
      <c r="F59" s="5">
        <f>IF(A59="","",COUNTIFS(TestCases!$B$2:$B$1001,A59,TestCases!$N$2:$N$1001,"Failed")+COUNTIFS(TestCases!$B$2:$B$1001,A59,TestCases!$N$2:$N$1001,"Timed out"))</f>
        <v/>
      </c>
      <c r="G59" s="5">
        <f>IF(A59="","",C59-E59-F59-COUNTIFS(TestCases!$B$2:$B$1001,A59,TestCases!$N$2:$N$1001,"Flaky"))</f>
        <v/>
      </c>
      <c r="H59" s="5">
        <f>IF(A59="","",IF(C59=0,"No tests",IF(F59&gt;0,"Failing",IF(E59=C59,"Verified","In progress"))))</f>
        <v/>
      </c>
    </row>
    <row r="60">
      <c r="A60" s="5">
        <f>IF(Requirements!A60="","",Requirements!A60)</f>
        <v/>
      </c>
      <c r="B60" s="5">
        <f>IF(A60="","",Requirements!B60)</f>
        <v/>
      </c>
      <c r="C60" s="5">
        <f>IF(A60="","",COUNTIF(TestCases!$B$2:$B$1001,A60))</f>
        <v/>
      </c>
      <c r="D60" s="5">
        <f>IF(A60="","",COUNTIFS(TestCases!$B$2:$B$1001,A60,TestCases!$K$2:$K$1001,"Approved"))</f>
        <v/>
      </c>
      <c r="E60" s="5">
        <f>IF(A60="","",COUNTIFS(TestCases!$B$2:$B$1001,A60,TestCases!$N$2:$N$1001,"Passed"))</f>
        <v/>
      </c>
      <c r="F60" s="5">
        <f>IF(A60="","",COUNTIFS(TestCases!$B$2:$B$1001,A60,TestCases!$N$2:$N$1001,"Failed")+COUNTIFS(TestCases!$B$2:$B$1001,A60,TestCases!$N$2:$N$1001,"Timed out"))</f>
        <v/>
      </c>
      <c r="G60" s="5">
        <f>IF(A60="","",C60-E60-F60-COUNTIFS(TestCases!$B$2:$B$1001,A60,TestCases!$N$2:$N$1001,"Flaky"))</f>
        <v/>
      </c>
      <c r="H60" s="5">
        <f>IF(A60="","",IF(C60=0,"No tests",IF(F60&gt;0,"Failing",IF(E60=C60,"Verified","In progress"))))</f>
        <v/>
      </c>
    </row>
    <row r="61">
      <c r="A61" s="5">
        <f>IF(Requirements!A61="","",Requirements!A61)</f>
        <v/>
      </c>
      <c r="B61" s="5">
        <f>IF(A61="","",Requirements!B61)</f>
        <v/>
      </c>
      <c r="C61" s="5">
        <f>IF(A61="","",COUNTIF(TestCases!$B$2:$B$1001,A61))</f>
        <v/>
      </c>
      <c r="D61" s="5">
        <f>IF(A61="","",COUNTIFS(TestCases!$B$2:$B$1001,A61,TestCases!$K$2:$K$1001,"Approved"))</f>
        <v/>
      </c>
      <c r="E61" s="5">
        <f>IF(A61="","",COUNTIFS(TestCases!$B$2:$B$1001,A61,TestCases!$N$2:$N$1001,"Passed"))</f>
        <v/>
      </c>
      <c r="F61" s="5">
        <f>IF(A61="","",COUNTIFS(TestCases!$B$2:$B$1001,A61,TestCases!$N$2:$N$1001,"Failed")+COUNTIFS(TestCases!$B$2:$B$1001,A61,TestCases!$N$2:$N$1001,"Timed out"))</f>
        <v/>
      </c>
      <c r="G61" s="5">
        <f>IF(A61="","",C61-E61-F61-COUNTIFS(TestCases!$B$2:$B$1001,A61,TestCases!$N$2:$N$1001,"Flaky"))</f>
        <v/>
      </c>
      <c r="H61" s="5">
        <f>IF(A61="","",IF(C61=0,"No tests",IF(F61&gt;0,"Failing",IF(E61=C61,"Verified","In progress"))))</f>
        <v/>
      </c>
    </row>
    <row r="62">
      <c r="A62" s="5">
        <f>IF(Requirements!A62="","",Requirements!A62)</f>
        <v/>
      </c>
      <c r="B62" s="5">
        <f>IF(A62="","",Requirements!B62)</f>
        <v/>
      </c>
      <c r="C62" s="5">
        <f>IF(A62="","",COUNTIF(TestCases!$B$2:$B$1001,A62))</f>
        <v/>
      </c>
      <c r="D62" s="5">
        <f>IF(A62="","",COUNTIFS(TestCases!$B$2:$B$1001,A62,TestCases!$K$2:$K$1001,"Approved"))</f>
        <v/>
      </c>
      <c r="E62" s="5">
        <f>IF(A62="","",COUNTIFS(TestCases!$B$2:$B$1001,A62,TestCases!$N$2:$N$1001,"Passed"))</f>
        <v/>
      </c>
      <c r="F62" s="5">
        <f>IF(A62="","",COUNTIFS(TestCases!$B$2:$B$1001,A62,TestCases!$N$2:$N$1001,"Failed")+COUNTIFS(TestCases!$B$2:$B$1001,A62,TestCases!$N$2:$N$1001,"Timed out"))</f>
        <v/>
      </c>
      <c r="G62" s="5">
        <f>IF(A62="","",C62-E62-F62-COUNTIFS(TestCases!$B$2:$B$1001,A62,TestCases!$N$2:$N$1001,"Flaky"))</f>
        <v/>
      </c>
      <c r="H62" s="5">
        <f>IF(A62="","",IF(C62=0,"No tests",IF(F62&gt;0,"Failing",IF(E62=C62,"Verified","In progress"))))</f>
        <v/>
      </c>
    </row>
    <row r="63">
      <c r="A63" s="5">
        <f>IF(Requirements!A63="","",Requirements!A63)</f>
        <v/>
      </c>
      <c r="B63" s="5">
        <f>IF(A63="","",Requirements!B63)</f>
        <v/>
      </c>
      <c r="C63" s="5">
        <f>IF(A63="","",COUNTIF(TestCases!$B$2:$B$1001,A63))</f>
        <v/>
      </c>
      <c r="D63" s="5">
        <f>IF(A63="","",COUNTIFS(TestCases!$B$2:$B$1001,A63,TestCases!$K$2:$K$1001,"Approved"))</f>
        <v/>
      </c>
      <c r="E63" s="5">
        <f>IF(A63="","",COUNTIFS(TestCases!$B$2:$B$1001,A63,TestCases!$N$2:$N$1001,"Passed"))</f>
        <v/>
      </c>
      <c r="F63" s="5">
        <f>IF(A63="","",COUNTIFS(TestCases!$B$2:$B$1001,A63,TestCases!$N$2:$N$1001,"Failed")+COUNTIFS(TestCases!$B$2:$B$1001,A63,TestCases!$N$2:$N$1001,"Timed out"))</f>
        <v/>
      </c>
      <c r="G63" s="5">
        <f>IF(A63="","",C63-E63-F63-COUNTIFS(TestCases!$B$2:$B$1001,A63,TestCases!$N$2:$N$1001,"Flaky"))</f>
        <v/>
      </c>
      <c r="H63" s="5">
        <f>IF(A63="","",IF(C63=0,"No tests",IF(F63&gt;0,"Failing",IF(E63=C63,"Verified","In progress"))))</f>
        <v/>
      </c>
    </row>
    <row r="64">
      <c r="A64" s="5">
        <f>IF(Requirements!A64="","",Requirements!A64)</f>
        <v/>
      </c>
      <c r="B64" s="5">
        <f>IF(A64="","",Requirements!B64)</f>
        <v/>
      </c>
      <c r="C64" s="5">
        <f>IF(A64="","",COUNTIF(TestCases!$B$2:$B$1001,A64))</f>
        <v/>
      </c>
      <c r="D64" s="5">
        <f>IF(A64="","",COUNTIFS(TestCases!$B$2:$B$1001,A64,TestCases!$K$2:$K$1001,"Approved"))</f>
        <v/>
      </c>
      <c r="E64" s="5">
        <f>IF(A64="","",COUNTIFS(TestCases!$B$2:$B$1001,A64,TestCases!$N$2:$N$1001,"Passed"))</f>
        <v/>
      </c>
      <c r="F64" s="5">
        <f>IF(A64="","",COUNTIFS(TestCases!$B$2:$B$1001,A64,TestCases!$N$2:$N$1001,"Failed")+COUNTIFS(TestCases!$B$2:$B$1001,A64,TestCases!$N$2:$N$1001,"Timed out"))</f>
        <v/>
      </c>
      <c r="G64" s="5">
        <f>IF(A64="","",C64-E64-F64-COUNTIFS(TestCases!$B$2:$B$1001,A64,TestCases!$N$2:$N$1001,"Flaky"))</f>
        <v/>
      </c>
      <c r="H64" s="5">
        <f>IF(A64="","",IF(C64=0,"No tests",IF(F64&gt;0,"Failing",IF(E64=C64,"Verified","In progress"))))</f>
        <v/>
      </c>
    </row>
    <row r="65">
      <c r="A65" s="5">
        <f>IF(Requirements!A65="","",Requirements!A65)</f>
        <v/>
      </c>
      <c r="B65" s="5">
        <f>IF(A65="","",Requirements!B65)</f>
        <v/>
      </c>
      <c r="C65" s="5">
        <f>IF(A65="","",COUNTIF(TestCases!$B$2:$B$1001,A65))</f>
        <v/>
      </c>
      <c r="D65" s="5">
        <f>IF(A65="","",COUNTIFS(TestCases!$B$2:$B$1001,A65,TestCases!$K$2:$K$1001,"Approved"))</f>
        <v/>
      </c>
      <c r="E65" s="5">
        <f>IF(A65="","",COUNTIFS(TestCases!$B$2:$B$1001,A65,TestCases!$N$2:$N$1001,"Passed"))</f>
        <v/>
      </c>
      <c r="F65" s="5">
        <f>IF(A65="","",COUNTIFS(TestCases!$B$2:$B$1001,A65,TestCases!$N$2:$N$1001,"Failed")+COUNTIFS(TestCases!$B$2:$B$1001,A65,TestCases!$N$2:$N$1001,"Timed out"))</f>
        <v/>
      </c>
      <c r="G65" s="5">
        <f>IF(A65="","",C65-E65-F65-COUNTIFS(TestCases!$B$2:$B$1001,A65,TestCases!$N$2:$N$1001,"Flaky"))</f>
        <v/>
      </c>
      <c r="H65" s="5">
        <f>IF(A65="","",IF(C65=0,"No tests",IF(F65&gt;0,"Failing",IF(E65=C65,"Verified","In progress"))))</f>
        <v/>
      </c>
    </row>
    <row r="66">
      <c r="A66" s="5">
        <f>IF(Requirements!A66="","",Requirements!A66)</f>
        <v/>
      </c>
      <c r="B66" s="5">
        <f>IF(A66="","",Requirements!B66)</f>
        <v/>
      </c>
      <c r="C66" s="5">
        <f>IF(A66="","",COUNTIF(TestCases!$B$2:$B$1001,A66))</f>
        <v/>
      </c>
      <c r="D66" s="5">
        <f>IF(A66="","",COUNTIFS(TestCases!$B$2:$B$1001,A66,TestCases!$K$2:$K$1001,"Approved"))</f>
        <v/>
      </c>
      <c r="E66" s="5">
        <f>IF(A66="","",COUNTIFS(TestCases!$B$2:$B$1001,A66,TestCases!$N$2:$N$1001,"Passed"))</f>
        <v/>
      </c>
      <c r="F66" s="5">
        <f>IF(A66="","",COUNTIFS(TestCases!$B$2:$B$1001,A66,TestCases!$N$2:$N$1001,"Failed")+COUNTIFS(TestCases!$B$2:$B$1001,A66,TestCases!$N$2:$N$1001,"Timed out"))</f>
        <v/>
      </c>
      <c r="G66" s="5">
        <f>IF(A66="","",C66-E66-F66-COUNTIFS(TestCases!$B$2:$B$1001,A66,TestCases!$N$2:$N$1001,"Flaky"))</f>
        <v/>
      </c>
      <c r="H66" s="5">
        <f>IF(A66="","",IF(C66=0,"No tests",IF(F66&gt;0,"Failing",IF(E66=C66,"Verified","In progress"))))</f>
        <v/>
      </c>
    </row>
    <row r="67">
      <c r="A67" s="5">
        <f>IF(Requirements!A67="","",Requirements!A67)</f>
        <v/>
      </c>
      <c r="B67" s="5">
        <f>IF(A67="","",Requirements!B67)</f>
        <v/>
      </c>
      <c r="C67" s="5">
        <f>IF(A67="","",COUNTIF(TestCases!$B$2:$B$1001,A67))</f>
        <v/>
      </c>
      <c r="D67" s="5">
        <f>IF(A67="","",COUNTIFS(TestCases!$B$2:$B$1001,A67,TestCases!$K$2:$K$1001,"Approved"))</f>
        <v/>
      </c>
      <c r="E67" s="5">
        <f>IF(A67="","",COUNTIFS(TestCases!$B$2:$B$1001,A67,TestCases!$N$2:$N$1001,"Passed"))</f>
        <v/>
      </c>
      <c r="F67" s="5">
        <f>IF(A67="","",COUNTIFS(TestCases!$B$2:$B$1001,A67,TestCases!$N$2:$N$1001,"Failed")+COUNTIFS(TestCases!$B$2:$B$1001,A67,TestCases!$N$2:$N$1001,"Timed out"))</f>
        <v/>
      </c>
      <c r="G67" s="5">
        <f>IF(A67="","",C67-E67-F67-COUNTIFS(TestCases!$B$2:$B$1001,A67,TestCases!$N$2:$N$1001,"Flaky"))</f>
        <v/>
      </c>
      <c r="H67" s="5">
        <f>IF(A67="","",IF(C67=0,"No tests",IF(F67&gt;0,"Failing",IF(E67=C67,"Verified","In progress"))))</f>
        <v/>
      </c>
    </row>
    <row r="68">
      <c r="A68" s="5">
        <f>IF(Requirements!A68="","",Requirements!A68)</f>
        <v/>
      </c>
      <c r="B68" s="5">
        <f>IF(A68="","",Requirements!B68)</f>
        <v/>
      </c>
      <c r="C68" s="5">
        <f>IF(A68="","",COUNTIF(TestCases!$B$2:$B$1001,A68))</f>
        <v/>
      </c>
      <c r="D68" s="5">
        <f>IF(A68="","",COUNTIFS(TestCases!$B$2:$B$1001,A68,TestCases!$K$2:$K$1001,"Approved"))</f>
        <v/>
      </c>
      <c r="E68" s="5">
        <f>IF(A68="","",COUNTIFS(TestCases!$B$2:$B$1001,A68,TestCases!$N$2:$N$1001,"Passed"))</f>
        <v/>
      </c>
      <c r="F68" s="5">
        <f>IF(A68="","",COUNTIFS(TestCases!$B$2:$B$1001,A68,TestCases!$N$2:$N$1001,"Failed")+COUNTIFS(TestCases!$B$2:$B$1001,A68,TestCases!$N$2:$N$1001,"Timed out"))</f>
        <v/>
      </c>
      <c r="G68" s="5">
        <f>IF(A68="","",C68-E68-F68-COUNTIFS(TestCases!$B$2:$B$1001,A68,TestCases!$N$2:$N$1001,"Flaky"))</f>
        <v/>
      </c>
      <c r="H68" s="5">
        <f>IF(A68="","",IF(C68=0,"No tests",IF(F68&gt;0,"Failing",IF(E68=C68,"Verified","In progress"))))</f>
        <v/>
      </c>
    </row>
    <row r="69">
      <c r="A69" s="5">
        <f>IF(Requirements!A69="","",Requirements!A69)</f>
        <v/>
      </c>
      <c r="B69" s="5">
        <f>IF(A69="","",Requirements!B69)</f>
        <v/>
      </c>
      <c r="C69" s="5">
        <f>IF(A69="","",COUNTIF(TestCases!$B$2:$B$1001,A69))</f>
        <v/>
      </c>
      <c r="D69" s="5">
        <f>IF(A69="","",COUNTIFS(TestCases!$B$2:$B$1001,A69,TestCases!$K$2:$K$1001,"Approved"))</f>
        <v/>
      </c>
      <c r="E69" s="5">
        <f>IF(A69="","",COUNTIFS(TestCases!$B$2:$B$1001,A69,TestCases!$N$2:$N$1001,"Passed"))</f>
        <v/>
      </c>
      <c r="F69" s="5">
        <f>IF(A69="","",COUNTIFS(TestCases!$B$2:$B$1001,A69,TestCases!$N$2:$N$1001,"Failed")+COUNTIFS(TestCases!$B$2:$B$1001,A69,TestCases!$N$2:$N$1001,"Timed out"))</f>
        <v/>
      </c>
      <c r="G69" s="5">
        <f>IF(A69="","",C69-E69-F69-COUNTIFS(TestCases!$B$2:$B$1001,A69,TestCases!$N$2:$N$1001,"Flaky"))</f>
        <v/>
      </c>
      <c r="H69" s="5">
        <f>IF(A69="","",IF(C69=0,"No tests",IF(F69&gt;0,"Failing",IF(E69=C69,"Verified","In progress"))))</f>
        <v/>
      </c>
    </row>
    <row r="70">
      <c r="A70" s="5">
        <f>IF(Requirements!A70="","",Requirements!A70)</f>
        <v/>
      </c>
      <c r="B70" s="5">
        <f>IF(A70="","",Requirements!B70)</f>
        <v/>
      </c>
      <c r="C70" s="5">
        <f>IF(A70="","",COUNTIF(TestCases!$B$2:$B$1001,A70))</f>
        <v/>
      </c>
      <c r="D70" s="5">
        <f>IF(A70="","",COUNTIFS(TestCases!$B$2:$B$1001,A70,TestCases!$K$2:$K$1001,"Approved"))</f>
        <v/>
      </c>
      <c r="E70" s="5">
        <f>IF(A70="","",COUNTIFS(TestCases!$B$2:$B$1001,A70,TestCases!$N$2:$N$1001,"Passed"))</f>
        <v/>
      </c>
      <c r="F70" s="5">
        <f>IF(A70="","",COUNTIFS(TestCases!$B$2:$B$1001,A70,TestCases!$N$2:$N$1001,"Failed")+COUNTIFS(TestCases!$B$2:$B$1001,A70,TestCases!$N$2:$N$1001,"Timed out"))</f>
        <v/>
      </c>
      <c r="G70" s="5">
        <f>IF(A70="","",C70-E70-F70-COUNTIFS(TestCases!$B$2:$B$1001,A70,TestCases!$N$2:$N$1001,"Flaky"))</f>
        <v/>
      </c>
      <c r="H70" s="5">
        <f>IF(A70="","",IF(C70=0,"No tests",IF(F70&gt;0,"Failing",IF(E70=C70,"Verified","In progress"))))</f>
        <v/>
      </c>
    </row>
    <row r="71">
      <c r="A71" s="5">
        <f>IF(Requirements!A71="","",Requirements!A71)</f>
        <v/>
      </c>
      <c r="B71" s="5">
        <f>IF(A71="","",Requirements!B71)</f>
        <v/>
      </c>
      <c r="C71" s="5">
        <f>IF(A71="","",COUNTIF(TestCases!$B$2:$B$1001,A71))</f>
        <v/>
      </c>
      <c r="D71" s="5">
        <f>IF(A71="","",COUNTIFS(TestCases!$B$2:$B$1001,A71,TestCases!$K$2:$K$1001,"Approved"))</f>
        <v/>
      </c>
      <c r="E71" s="5">
        <f>IF(A71="","",COUNTIFS(TestCases!$B$2:$B$1001,A71,TestCases!$N$2:$N$1001,"Passed"))</f>
        <v/>
      </c>
      <c r="F71" s="5">
        <f>IF(A71="","",COUNTIFS(TestCases!$B$2:$B$1001,A71,TestCases!$N$2:$N$1001,"Failed")+COUNTIFS(TestCases!$B$2:$B$1001,A71,TestCases!$N$2:$N$1001,"Timed out"))</f>
        <v/>
      </c>
      <c r="G71" s="5">
        <f>IF(A71="","",C71-E71-F71-COUNTIFS(TestCases!$B$2:$B$1001,A71,TestCases!$N$2:$N$1001,"Flaky"))</f>
        <v/>
      </c>
      <c r="H71" s="5">
        <f>IF(A71="","",IF(C71=0,"No tests",IF(F71&gt;0,"Failing",IF(E71=C71,"Verified","In progress"))))</f>
        <v/>
      </c>
    </row>
    <row r="72">
      <c r="A72" s="5">
        <f>IF(Requirements!A72="","",Requirements!A72)</f>
        <v/>
      </c>
      <c r="B72" s="5">
        <f>IF(A72="","",Requirements!B72)</f>
        <v/>
      </c>
      <c r="C72" s="5">
        <f>IF(A72="","",COUNTIF(TestCases!$B$2:$B$1001,A72))</f>
        <v/>
      </c>
      <c r="D72" s="5">
        <f>IF(A72="","",COUNTIFS(TestCases!$B$2:$B$1001,A72,TestCases!$K$2:$K$1001,"Approved"))</f>
        <v/>
      </c>
      <c r="E72" s="5">
        <f>IF(A72="","",COUNTIFS(TestCases!$B$2:$B$1001,A72,TestCases!$N$2:$N$1001,"Passed"))</f>
        <v/>
      </c>
      <c r="F72" s="5">
        <f>IF(A72="","",COUNTIFS(TestCases!$B$2:$B$1001,A72,TestCases!$N$2:$N$1001,"Failed")+COUNTIFS(TestCases!$B$2:$B$1001,A72,TestCases!$N$2:$N$1001,"Timed out"))</f>
        <v/>
      </c>
      <c r="G72" s="5">
        <f>IF(A72="","",C72-E72-F72-COUNTIFS(TestCases!$B$2:$B$1001,A72,TestCases!$N$2:$N$1001,"Flaky"))</f>
        <v/>
      </c>
      <c r="H72" s="5">
        <f>IF(A72="","",IF(C72=0,"No tests",IF(F72&gt;0,"Failing",IF(E72=C72,"Verified","In progress"))))</f>
        <v/>
      </c>
    </row>
    <row r="73">
      <c r="A73" s="5">
        <f>IF(Requirements!A73="","",Requirements!A73)</f>
        <v/>
      </c>
      <c r="B73" s="5">
        <f>IF(A73="","",Requirements!B73)</f>
        <v/>
      </c>
      <c r="C73" s="5">
        <f>IF(A73="","",COUNTIF(TestCases!$B$2:$B$1001,A73))</f>
        <v/>
      </c>
      <c r="D73" s="5">
        <f>IF(A73="","",COUNTIFS(TestCases!$B$2:$B$1001,A73,TestCases!$K$2:$K$1001,"Approved"))</f>
        <v/>
      </c>
      <c r="E73" s="5">
        <f>IF(A73="","",COUNTIFS(TestCases!$B$2:$B$1001,A73,TestCases!$N$2:$N$1001,"Passed"))</f>
        <v/>
      </c>
      <c r="F73" s="5">
        <f>IF(A73="","",COUNTIFS(TestCases!$B$2:$B$1001,A73,TestCases!$N$2:$N$1001,"Failed")+COUNTIFS(TestCases!$B$2:$B$1001,A73,TestCases!$N$2:$N$1001,"Timed out"))</f>
        <v/>
      </c>
      <c r="G73" s="5">
        <f>IF(A73="","",C73-E73-F73-COUNTIFS(TestCases!$B$2:$B$1001,A73,TestCases!$N$2:$N$1001,"Flaky"))</f>
        <v/>
      </c>
      <c r="H73" s="5">
        <f>IF(A73="","",IF(C73=0,"No tests",IF(F73&gt;0,"Failing",IF(E73=C73,"Verified","In progress"))))</f>
        <v/>
      </c>
    </row>
    <row r="74">
      <c r="A74" s="5">
        <f>IF(Requirements!A74="","",Requirements!A74)</f>
        <v/>
      </c>
      <c r="B74" s="5">
        <f>IF(A74="","",Requirements!B74)</f>
        <v/>
      </c>
      <c r="C74" s="5">
        <f>IF(A74="","",COUNTIF(TestCases!$B$2:$B$1001,A74))</f>
        <v/>
      </c>
      <c r="D74" s="5">
        <f>IF(A74="","",COUNTIFS(TestCases!$B$2:$B$1001,A74,TestCases!$K$2:$K$1001,"Approved"))</f>
        <v/>
      </c>
      <c r="E74" s="5">
        <f>IF(A74="","",COUNTIFS(TestCases!$B$2:$B$1001,A74,TestCases!$N$2:$N$1001,"Passed"))</f>
        <v/>
      </c>
      <c r="F74" s="5">
        <f>IF(A74="","",COUNTIFS(TestCases!$B$2:$B$1001,A74,TestCases!$N$2:$N$1001,"Failed")+COUNTIFS(TestCases!$B$2:$B$1001,A74,TestCases!$N$2:$N$1001,"Timed out"))</f>
        <v/>
      </c>
      <c r="G74" s="5">
        <f>IF(A74="","",C74-E74-F74-COUNTIFS(TestCases!$B$2:$B$1001,A74,TestCases!$N$2:$N$1001,"Flaky"))</f>
        <v/>
      </c>
      <c r="H74" s="5">
        <f>IF(A74="","",IF(C74=0,"No tests",IF(F74&gt;0,"Failing",IF(E74=C74,"Verified","In progress"))))</f>
        <v/>
      </c>
    </row>
    <row r="75">
      <c r="A75" s="5">
        <f>IF(Requirements!A75="","",Requirements!A75)</f>
        <v/>
      </c>
      <c r="B75" s="5">
        <f>IF(A75="","",Requirements!B75)</f>
        <v/>
      </c>
      <c r="C75" s="5">
        <f>IF(A75="","",COUNTIF(TestCases!$B$2:$B$1001,A75))</f>
        <v/>
      </c>
      <c r="D75" s="5">
        <f>IF(A75="","",COUNTIFS(TestCases!$B$2:$B$1001,A75,TestCases!$K$2:$K$1001,"Approved"))</f>
        <v/>
      </c>
      <c r="E75" s="5">
        <f>IF(A75="","",COUNTIFS(TestCases!$B$2:$B$1001,A75,TestCases!$N$2:$N$1001,"Passed"))</f>
        <v/>
      </c>
      <c r="F75" s="5">
        <f>IF(A75="","",COUNTIFS(TestCases!$B$2:$B$1001,A75,TestCases!$N$2:$N$1001,"Failed")+COUNTIFS(TestCases!$B$2:$B$1001,A75,TestCases!$N$2:$N$1001,"Timed out"))</f>
        <v/>
      </c>
      <c r="G75" s="5">
        <f>IF(A75="","",C75-E75-F75-COUNTIFS(TestCases!$B$2:$B$1001,A75,TestCases!$N$2:$N$1001,"Flaky"))</f>
        <v/>
      </c>
      <c r="H75" s="5">
        <f>IF(A75="","",IF(C75=0,"No tests",IF(F75&gt;0,"Failing",IF(E75=C75,"Verified","In progress"))))</f>
        <v/>
      </c>
    </row>
    <row r="76">
      <c r="A76" s="5">
        <f>IF(Requirements!A76="","",Requirements!A76)</f>
        <v/>
      </c>
      <c r="B76" s="5">
        <f>IF(A76="","",Requirements!B76)</f>
        <v/>
      </c>
      <c r="C76" s="5">
        <f>IF(A76="","",COUNTIF(TestCases!$B$2:$B$1001,A76))</f>
        <v/>
      </c>
      <c r="D76" s="5">
        <f>IF(A76="","",COUNTIFS(TestCases!$B$2:$B$1001,A76,TestCases!$K$2:$K$1001,"Approved"))</f>
        <v/>
      </c>
      <c r="E76" s="5">
        <f>IF(A76="","",COUNTIFS(TestCases!$B$2:$B$1001,A76,TestCases!$N$2:$N$1001,"Passed"))</f>
        <v/>
      </c>
      <c r="F76" s="5">
        <f>IF(A76="","",COUNTIFS(TestCases!$B$2:$B$1001,A76,TestCases!$N$2:$N$1001,"Failed")+COUNTIFS(TestCases!$B$2:$B$1001,A76,TestCases!$N$2:$N$1001,"Timed out"))</f>
        <v/>
      </c>
      <c r="G76" s="5">
        <f>IF(A76="","",C76-E76-F76-COUNTIFS(TestCases!$B$2:$B$1001,A76,TestCases!$N$2:$N$1001,"Flaky"))</f>
        <v/>
      </c>
      <c r="H76" s="5">
        <f>IF(A76="","",IF(C76=0,"No tests",IF(F76&gt;0,"Failing",IF(E76=C76,"Verified","In progress"))))</f>
        <v/>
      </c>
    </row>
    <row r="77">
      <c r="A77" s="5">
        <f>IF(Requirements!A77="","",Requirements!A77)</f>
        <v/>
      </c>
      <c r="B77" s="5">
        <f>IF(A77="","",Requirements!B77)</f>
        <v/>
      </c>
      <c r="C77" s="5">
        <f>IF(A77="","",COUNTIF(TestCases!$B$2:$B$1001,A77))</f>
        <v/>
      </c>
      <c r="D77" s="5">
        <f>IF(A77="","",COUNTIFS(TestCases!$B$2:$B$1001,A77,TestCases!$K$2:$K$1001,"Approved"))</f>
        <v/>
      </c>
      <c r="E77" s="5">
        <f>IF(A77="","",COUNTIFS(TestCases!$B$2:$B$1001,A77,TestCases!$N$2:$N$1001,"Passed"))</f>
        <v/>
      </c>
      <c r="F77" s="5">
        <f>IF(A77="","",COUNTIFS(TestCases!$B$2:$B$1001,A77,TestCases!$N$2:$N$1001,"Failed")+COUNTIFS(TestCases!$B$2:$B$1001,A77,TestCases!$N$2:$N$1001,"Timed out"))</f>
        <v/>
      </c>
      <c r="G77" s="5">
        <f>IF(A77="","",C77-E77-F77-COUNTIFS(TestCases!$B$2:$B$1001,A77,TestCases!$N$2:$N$1001,"Flaky"))</f>
        <v/>
      </c>
      <c r="H77" s="5">
        <f>IF(A77="","",IF(C77=0,"No tests",IF(F77&gt;0,"Failing",IF(E77=C77,"Verified","In progress"))))</f>
        <v/>
      </c>
    </row>
    <row r="78">
      <c r="A78" s="5">
        <f>IF(Requirements!A78="","",Requirements!A78)</f>
        <v/>
      </c>
      <c r="B78" s="5">
        <f>IF(A78="","",Requirements!B78)</f>
        <v/>
      </c>
      <c r="C78" s="5">
        <f>IF(A78="","",COUNTIF(TestCases!$B$2:$B$1001,A78))</f>
        <v/>
      </c>
      <c r="D78" s="5">
        <f>IF(A78="","",COUNTIFS(TestCases!$B$2:$B$1001,A78,TestCases!$K$2:$K$1001,"Approved"))</f>
        <v/>
      </c>
      <c r="E78" s="5">
        <f>IF(A78="","",COUNTIFS(TestCases!$B$2:$B$1001,A78,TestCases!$N$2:$N$1001,"Passed"))</f>
        <v/>
      </c>
      <c r="F78" s="5">
        <f>IF(A78="","",COUNTIFS(TestCases!$B$2:$B$1001,A78,TestCases!$N$2:$N$1001,"Failed")+COUNTIFS(TestCases!$B$2:$B$1001,A78,TestCases!$N$2:$N$1001,"Timed out"))</f>
        <v/>
      </c>
      <c r="G78" s="5">
        <f>IF(A78="","",C78-E78-F78-COUNTIFS(TestCases!$B$2:$B$1001,A78,TestCases!$N$2:$N$1001,"Flaky"))</f>
        <v/>
      </c>
      <c r="H78" s="5">
        <f>IF(A78="","",IF(C78=0,"No tests",IF(F78&gt;0,"Failing",IF(E78=C78,"Verified","In progress"))))</f>
        <v/>
      </c>
    </row>
    <row r="79">
      <c r="A79" s="5">
        <f>IF(Requirements!A79="","",Requirements!A79)</f>
        <v/>
      </c>
      <c r="B79" s="5">
        <f>IF(A79="","",Requirements!B79)</f>
        <v/>
      </c>
      <c r="C79" s="5">
        <f>IF(A79="","",COUNTIF(TestCases!$B$2:$B$1001,A79))</f>
        <v/>
      </c>
      <c r="D79" s="5">
        <f>IF(A79="","",COUNTIFS(TestCases!$B$2:$B$1001,A79,TestCases!$K$2:$K$1001,"Approved"))</f>
        <v/>
      </c>
      <c r="E79" s="5">
        <f>IF(A79="","",COUNTIFS(TestCases!$B$2:$B$1001,A79,TestCases!$N$2:$N$1001,"Passed"))</f>
        <v/>
      </c>
      <c r="F79" s="5">
        <f>IF(A79="","",COUNTIFS(TestCases!$B$2:$B$1001,A79,TestCases!$N$2:$N$1001,"Failed")+COUNTIFS(TestCases!$B$2:$B$1001,A79,TestCases!$N$2:$N$1001,"Timed out"))</f>
        <v/>
      </c>
      <c r="G79" s="5">
        <f>IF(A79="","",C79-E79-F79-COUNTIFS(TestCases!$B$2:$B$1001,A79,TestCases!$N$2:$N$1001,"Flaky"))</f>
        <v/>
      </c>
      <c r="H79" s="5">
        <f>IF(A79="","",IF(C79=0,"No tests",IF(F79&gt;0,"Failing",IF(E79=C79,"Verified","In progress"))))</f>
        <v/>
      </c>
    </row>
    <row r="80">
      <c r="A80" s="5">
        <f>IF(Requirements!A80="","",Requirements!A80)</f>
        <v/>
      </c>
      <c r="B80" s="5">
        <f>IF(A80="","",Requirements!B80)</f>
        <v/>
      </c>
      <c r="C80" s="5">
        <f>IF(A80="","",COUNTIF(TestCases!$B$2:$B$1001,A80))</f>
        <v/>
      </c>
      <c r="D80" s="5">
        <f>IF(A80="","",COUNTIFS(TestCases!$B$2:$B$1001,A80,TestCases!$K$2:$K$1001,"Approved"))</f>
        <v/>
      </c>
      <c r="E80" s="5">
        <f>IF(A80="","",COUNTIFS(TestCases!$B$2:$B$1001,A80,TestCases!$N$2:$N$1001,"Passed"))</f>
        <v/>
      </c>
      <c r="F80" s="5">
        <f>IF(A80="","",COUNTIFS(TestCases!$B$2:$B$1001,A80,TestCases!$N$2:$N$1001,"Failed")+COUNTIFS(TestCases!$B$2:$B$1001,A80,TestCases!$N$2:$N$1001,"Timed out"))</f>
        <v/>
      </c>
      <c r="G80" s="5">
        <f>IF(A80="","",C80-E80-F80-COUNTIFS(TestCases!$B$2:$B$1001,A80,TestCases!$N$2:$N$1001,"Flaky"))</f>
        <v/>
      </c>
      <c r="H80" s="5">
        <f>IF(A80="","",IF(C80=0,"No tests",IF(F80&gt;0,"Failing",IF(E80=C80,"Verified","In progress"))))</f>
        <v/>
      </c>
    </row>
    <row r="81">
      <c r="A81" s="5">
        <f>IF(Requirements!A81="","",Requirements!A81)</f>
        <v/>
      </c>
      <c r="B81" s="5">
        <f>IF(A81="","",Requirements!B81)</f>
        <v/>
      </c>
      <c r="C81" s="5">
        <f>IF(A81="","",COUNTIF(TestCases!$B$2:$B$1001,A81))</f>
        <v/>
      </c>
      <c r="D81" s="5">
        <f>IF(A81="","",COUNTIFS(TestCases!$B$2:$B$1001,A81,TestCases!$K$2:$K$1001,"Approved"))</f>
        <v/>
      </c>
      <c r="E81" s="5">
        <f>IF(A81="","",COUNTIFS(TestCases!$B$2:$B$1001,A81,TestCases!$N$2:$N$1001,"Passed"))</f>
        <v/>
      </c>
      <c r="F81" s="5">
        <f>IF(A81="","",COUNTIFS(TestCases!$B$2:$B$1001,A81,TestCases!$N$2:$N$1001,"Failed")+COUNTIFS(TestCases!$B$2:$B$1001,A81,TestCases!$N$2:$N$1001,"Timed out"))</f>
        <v/>
      </c>
      <c r="G81" s="5">
        <f>IF(A81="","",C81-E81-F81-COUNTIFS(TestCases!$B$2:$B$1001,A81,TestCases!$N$2:$N$1001,"Flaky"))</f>
        <v/>
      </c>
      <c r="H81" s="5">
        <f>IF(A81="","",IF(C81=0,"No tests",IF(F81&gt;0,"Failing",IF(E81=C81,"Verified","In progress"))))</f>
        <v/>
      </c>
    </row>
    <row r="82">
      <c r="A82" s="5">
        <f>IF(Requirements!A82="","",Requirements!A82)</f>
        <v/>
      </c>
      <c r="B82" s="5">
        <f>IF(A82="","",Requirements!B82)</f>
        <v/>
      </c>
      <c r="C82" s="5">
        <f>IF(A82="","",COUNTIF(TestCases!$B$2:$B$1001,A82))</f>
        <v/>
      </c>
      <c r="D82" s="5">
        <f>IF(A82="","",COUNTIFS(TestCases!$B$2:$B$1001,A82,TestCases!$K$2:$K$1001,"Approved"))</f>
        <v/>
      </c>
      <c r="E82" s="5">
        <f>IF(A82="","",COUNTIFS(TestCases!$B$2:$B$1001,A82,TestCases!$N$2:$N$1001,"Passed"))</f>
        <v/>
      </c>
      <c r="F82" s="5">
        <f>IF(A82="","",COUNTIFS(TestCases!$B$2:$B$1001,A82,TestCases!$N$2:$N$1001,"Failed")+COUNTIFS(TestCases!$B$2:$B$1001,A82,TestCases!$N$2:$N$1001,"Timed out"))</f>
        <v/>
      </c>
      <c r="G82" s="5">
        <f>IF(A82="","",C82-E82-F82-COUNTIFS(TestCases!$B$2:$B$1001,A82,TestCases!$N$2:$N$1001,"Flaky"))</f>
        <v/>
      </c>
      <c r="H82" s="5">
        <f>IF(A82="","",IF(C82=0,"No tests",IF(F82&gt;0,"Failing",IF(E82=C82,"Verified","In progress"))))</f>
        <v/>
      </c>
    </row>
    <row r="83">
      <c r="A83" s="5">
        <f>IF(Requirements!A83="","",Requirements!A83)</f>
        <v/>
      </c>
      <c r="B83" s="5">
        <f>IF(A83="","",Requirements!B83)</f>
        <v/>
      </c>
      <c r="C83" s="5">
        <f>IF(A83="","",COUNTIF(TestCases!$B$2:$B$1001,A83))</f>
        <v/>
      </c>
      <c r="D83" s="5">
        <f>IF(A83="","",COUNTIFS(TestCases!$B$2:$B$1001,A83,TestCases!$K$2:$K$1001,"Approved"))</f>
        <v/>
      </c>
      <c r="E83" s="5">
        <f>IF(A83="","",COUNTIFS(TestCases!$B$2:$B$1001,A83,TestCases!$N$2:$N$1001,"Passed"))</f>
        <v/>
      </c>
      <c r="F83" s="5">
        <f>IF(A83="","",COUNTIFS(TestCases!$B$2:$B$1001,A83,TestCases!$N$2:$N$1001,"Failed")+COUNTIFS(TestCases!$B$2:$B$1001,A83,TestCases!$N$2:$N$1001,"Timed out"))</f>
        <v/>
      </c>
      <c r="G83" s="5">
        <f>IF(A83="","",C83-E83-F83-COUNTIFS(TestCases!$B$2:$B$1001,A83,TestCases!$N$2:$N$1001,"Flaky"))</f>
        <v/>
      </c>
      <c r="H83" s="5">
        <f>IF(A83="","",IF(C83=0,"No tests",IF(F83&gt;0,"Failing",IF(E83=C83,"Verified","In progress"))))</f>
        <v/>
      </c>
    </row>
    <row r="84">
      <c r="A84" s="5">
        <f>IF(Requirements!A84="","",Requirements!A84)</f>
        <v/>
      </c>
      <c r="B84" s="5">
        <f>IF(A84="","",Requirements!B84)</f>
        <v/>
      </c>
      <c r="C84" s="5">
        <f>IF(A84="","",COUNTIF(TestCases!$B$2:$B$1001,A84))</f>
        <v/>
      </c>
      <c r="D84" s="5">
        <f>IF(A84="","",COUNTIFS(TestCases!$B$2:$B$1001,A84,TestCases!$K$2:$K$1001,"Approved"))</f>
        <v/>
      </c>
      <c r="E84" s="5">
        <f>IF(A84="","",COUNTIFS(TestCases!$B$2:$B$1001,A84,TestCases!$N$2:$N$1001,"Passed"))</f>
        <v/>
      </c>
      <c r="F84" s="5">
        <f>IF(A84="","",COUNTIFS(TestCases!$B$2:$B$1001,A84,TestCases!$N$2:$N$1001,"Failed")+COUNTIFS(TestCases!$B$2:$B$1001,A84,TestCases!$N$2:$N$1001,"Timed out"))</f>
        <v/>
      </c>
      <c r="G84" s="5">
        <f>IF(A84="","",C84-E84-F84-COUNTIFS(TestCases!$B$2:$B$1001,A84,TestCases!$N$2:$N$1001,"Flaky"))</f>
        <v/>
      </c>
      <c r="H84" s="5">
        <f>IF(A84="","",IF(C84=0,"No tests",IF(F84&gt;0,"Failing",IF(E84=C84,"Verified","In progress"))))</f>
        <v/>
      </c>
    </row>
    <row r="85">
      <c r="A85" s="5">
        <f>IF(Requirements!A85="","",Requirements!A85)</f>
        <v/>
      </c>
      <c r="B85" s="5">
        <f>IF(A85="","",Requirements!B85)</f>
        <v/>
      </c>
      <c r="C85" s="5">
        <f>IF(A85="","",COUNTIF(TestCases!$B$2:$B$1001,A85))</f>
        <v/>
      </c>
      <c r="D85" s="5">
        <f>IF(A85="","",COUNTIFS(TestCases!$B$2:$B$1001,A85,TestCases!$K$2:$K$1001,"Approved"))</f>
        <v/>
      </c>
      <c r="E85" s="5">
        <f>IF(A85="","",COUNTIFS(TestCases!$B$2:$B$1001,A85,TestCases!$N$2:$N$1001,"Passed"))</f>
        <v/>
      </c>
      <c r="F85" s="5">
        <f>IF(A85="","",COUNTIFS(TestCases!$B$2:$B$1001,A85,TestCases!$N$2:$N$1001,"Failed")+COUNTIFS(TestCases!$B$2:$B$1001,A85,TestCases!$N$2:$N$1001,"Timed out"))</f>
        <v/>
      </c>
      <c r="G85" s="5">
        <f>IF(A85="","",C85-E85-F85-COUNTIFS(TestCases!$B$2:$B$1001,A85,TestCases!$N$2:$N$1001,"Flaky"))</f>
        <v/>
      </c>
      <c r="H85" s="5">
        <f>IF(A85="","",IF(C85=0,"No tests",IF(F85&gt;0,"Failing",IF(E85=C85,"Verified","In progress"))))</f>
        <v/>
      </c>
    </row>
    <row r="86">
      <c r="A86" s="5">
        <f>IF(Requirements!A86="","",Requirements!A86)</f>
        <v/>
      </c>
      <c r="B86" s="5">
        <f>IF(A86="","",Requirements!B86)</f>
        <v/>
      </c>
      <c r="C86" s="5">
        <f>IF(A86="","",COUNTIF(TestCases!$B$2:$B$1001,A86))</f>
        <v/>
      </c>
      <c r="D86" s="5">
        <f>IF(A86="","",COUNTIFS(TestCases!$B$2:$B$1001,A86,TestCases!$K$2:$K$1001,"Approved"))</f>
        <v/>
      </c>
      <c r="E86" s="5">
        <f>IF(A86="","",COUNTIFS(TestCases!$B$2:$B$1001,A86,TestCases!$N$2:$N$1001,"Passed"))</f>
        <v/>
      </c>
      <c r="F86" s="5">
        <f>IF(A86="","",COUNTIFS(TestCases!$B$2:$B$1001,A86,TestCases!$N$2:$N$1001,"Failed")+COUNTIFS(TestCases!$B$2:$B$1001,A86,TestCases!$N$2:$N$1001,"Timed out"))</f>
        <v/>
      </c>
      <c r="G86" s="5">
        <f>IF(A86="","",C86-E86-F86-COUNTIFS(TestCases!$B$2:$B$1001,A86,TestCases!$N$2:$N$1001,"Flaky"))</f>
        <v/>
      </c>
      <c r="H86" s="5">
        <f>IF(A86="","",IF(C86=0,"No tests",IF(F86&gt;0,"Failing",IF(E86=C86,"Verified","In progress"))))</f>
        <v/>
      </c>
    </row>
    <row r="87">
      <c r="A87" s="5">
        <f>IF(Requirements!A87="","",Requirements!A87)</f>
        <v/>
      </c>
      <c r="B87" s="5">
        <f>IF(A87="","",Requirements!B87)</f>
        <v/>
      </c>
      <c r="C87" s="5">
        <f>IF(A87="","",COUNTIF(TestCases!$B$2:$B$1001,A87))</f>
        <v/>
      </c>
      <c r="D87" s="5">
        <f>IF(A87="","",COUNTIFS(TestCases!$B$2:$B$1001,A87,TestCases!$K$2:$K$1001,"Approved"))</f>
        <v/>
      </c>
      <c r="E87" s="5">
        <f>IF(A87="","",COUNTIFS(TestCases!$B$2:$B$1001,A87,TestCases!$N$2:$N$1001,"Passed"))</f>
        <v/>
      </c>
      <c r="F87" s="5">
        <f>IF(A87="","",COUNTIFS(TestCases!$B$2:$B$1001,A87,TestCases!$N$2:$N$1001,"Failed")+COUNTIFS(TestCases!$B$2:$B$1001,A87,TestCases!$N$2:$N$1001,"Timed out"))</f>
        <v/>
      </c>
      <c r="G87" s="5">
        <f>IF(A87="","",C87-E87-F87-COUNTIFS(TestCases!$B$2:$B$1001,A87,TestCases!$N$2:$N$1001,"Flaky"))</f>
        <v/>
      </c>
      <c r="H87" s="5">
        <f>IF(A87="","",IF(C87=0,"No tests",IF(F87&gt;0,"Failing",IF(E87=C87,"Verified","In progress"))))</f>
        <v/>
      </c>
    </row>
    <row r="88">
      <c r="A88" s="5">
        <f>IF(Requirements!A88="","",Requirements!A88)</f>
        <v/>
      </c>
      <c r="B88" s="5">
        <f>IF(A88="","",Requirements!B88)</f>
        <v/>
      </c>
      <c r="C88" s="5">
        <f>IF(A88="","",COUNTIF(TestCases!$B$2:$B$1001,A88))</f>
        <v/>
      </c>
      <c r="D88" s="5">
        <f>IF(A88="","",COUNTIFS(TestCases!$B$2:$B$1001,A88,TestCases!$K$2:$K$1001,"Approved"))</f>
        <v/>
      </c>
      <c r="E88" s="5">
        <f>IF(A88="","",COUNTIFS(TestCases!$B$2:$B$1001,A88,TestCases!$N$2:$N$1001,"Passed"))</f>
        <v/>
      </c>
      <c r="F88" s="5">
        <f>IF(A88="","",COUNTIFS(TestCases!$B$2:$B$1001,A88,TestCases!$N$2:$N$1001,"Failed")+COUNTIFS(TestCases!$B$2:$B$1001,A88,TestCases!$N$2:$N$1001,"Timed out"))</f>
        <v/>
      </c>
      <c r="G88" s="5">
        <f>IF(A88="","",C88-E88-F88-COUNTIFS(TestCases!$B$2:$B$1001,A88,TestCases!$N$2:$N$1001,"Flaky"))</f>
        <v/>
      </c>
      <c r="H88" s="5">
        <f>IF(A88="","",IF(C88=0,"No tests",IF(F88&gt;0,"Failing",IF(E88=C88,"Verified","In progress"))))</f>
        <v/>
      </c>
    </row>
    <row r="89">
      <c r="A89" s="5">
        <f>IF(Requirements!A89="","",Requirements!A89)</f>
        <v/>
      </c>
      <c r="B89" s="5">
        <f>IF(A89="","",Requirements!B89)</f>
        <v/>
      </c>
      <c r="C89" s="5">
        <f>IF(A89="","",COUNTIF(TestCases!$B$2:$B$1001,A89))</f>
        <v/>
      </c>
      <c r="D89" s="5">
        <f>IF(A89="","",COUNTIFS(TestCases!$B$2:$B$1001,A89,TestCases!$K$2:$K$1001,"Approved"))</f>
        <v/>
      </c>
      <c r="E89" s="5">
        <f>IF(A89="","",COUNTIFS(TestCases!$B$2:$B$1001,A89,TestCases!$N$2:$N$1001,"Passed"))</f>
        <v/>
      </c>
      <c r="F89" s="5">
        <f>IF(A89="","",COUNTIFS(TestCases!$B$2:$B$1001,A89,TestCases!$N$2:$N$1001,"Failed")+COUNTIFS(TestCases!$B$2:$B$1001,A89,TestCases!$N$2:$N$1001,"Timed out"))</f>
        <v/>
      </c>
      <c r="G89" s="5">
        <f>IF(A89="","",C89-E89-F89-COUNTIFS(TestCases!$B$2:$B$1001,A89,TestCases!$N$2:$N$1001,"Flaky"))</f>
        <v/>
      </c>
      <c r="H89" s="5">
        <f>IF(A89="","",IF(C89=0,"No tests",IF(F89&gt;0,"Failing",IF(E89=C89,"Verified","In progress"))))</f>
        <v/>
      </c>
    </row>
    <row r="90">
      <c r="A90" s="5">
        <f>IF(Requirements!A90="","",Requirements!A90)</f>
        <v/>
      </c>
      <c r="B90" s="5">
        <f>IF(A90="","",Requirements!B90)</f>
        <v/>
      </c>
      <c r="C90" s="5">
        <f>IF(A90="","",COUNTIF(TestCases!$B$2:$B$1001,A90))</f>
        <v/>
      </c>
      <c r="D90" s="5">
        <f>IF(A90="","",COUNTIFS(TestCases!$B$2:$B$1001,A90,TestCases!$K$2:$K$1001,"Approved"))</f>
        <v/>
      </c>
      <c r="E90" s="5">
        <f>IF(A90="","",COUNTIFS(TestCases!$B$2:$B$1001,A90,TestCases!$N$2:$N$1001,"Passed"))</f>
        <v/>
      </c>
      <c r="F90" s="5">
        <f>IF(A90="","",COUNTIFS(TestCases!$B$2:$B$1001,A90,TestCases!$N$2:$N$1001,"Failed")+COUNTIFS(TestCases!$B$2:$B$1001,A90,TestCases!$N$2:$N$1001,"Timed out"))</f>
        <v/>
      </c>
      <c r="G90" s="5">
        <f>IF(A90="","",C90-E90-F90-COUNTIFS(TestCases!$B$2:$B$1001,A90,TestCases!$N$2:$N$1001,"Flaky"))</f>
        <v/>
      </c>
      <c r="H90" s="5">
        <f>IF(A90="","",IF(C90=0,"No tests",IF(F90&gt;0,"Failing",IF(E90=C90,"Verified","In progress"))))</f>
        <v/>
      </c>
    </row>
    <row r="91">
      <c r="A91" s="5">
        <f>IF(Requirements!A91="","",Requirements!A91)</f>
        <v/>
      </c>
      <c r="B91" s="5">
        <f>IF(A91="","",Requirements!B91)</f>
        <v/>
      </c>
      <c r="C91" s="5">
        <f>IF(A91="","",COUNTIF(TestCases!$B$2:$B$1001,A91))</f>
        <v/>
      </c>
      <c r="D91" s="5">
        <f>IF(A91="","",COUNTIFS(TestCases!$B$2:$B$1001,A91,TestCases!$K$2:$K$1001,"Approved"))</f>
        <v/>
      </c>
      <c r="E91" s="5">
        <f>IF(A91="","",COUNTIFS(TestCases!$B$2:$B$1001,A91,TestCases!$N$2:$N$1001,"Passed"))</f>
        <v/>
      </c>
      <c r="F91" s="5">
        <f>IF(A91="","",COUNTIFS(TestCases!$B$2:$B$1001,A91,TestCases!$N$2:$N$1001,"Failed")+COUNTIFS(TestCases!$B$2:$B$1001,A91,TestCases!$N$2:$N$1001,"Timed out"))</f>
        <v/>
      </c>
      <c r="G91" s="5">
        <f>IF(A91="","",C91-E91-F91-COUNTIFS(TestCases!$B$2:$B$1001,A91,TestCases!$N$2:$N$1001,"Flaky"))</f>
        <v/>
      </c>
      <c r="H91" s="5">
        <f>IF(A91="","",IF(C91=0,"No tests",IF(F91&gt;0,"Failing",IF(E91=C91,"Verified","In progress"))))</f>
        <v/>
      </c>
    </row>
    <row r="92">
      <c r="A92" s="5">
        <f>IF(Requirements!A92="","",Requirements!A92)</f>
        <v/>
      </c>
      <c r="B92" s="5">
        <f>IF(A92="","",Requirements!B92)</f>
        <v/>
      </c>
      <c r="C92" s="5">
        <f>IF(A92="","",COUNTIF(TestCases!$B$2:$B$1001,A92))</f>
        <v/>
      </c>
      <c r="D92" s="5">
        <f>IF(A92="","",COUNTIFS(TestCases!$B$2:$B$1001,A92,TestCases!$K$2:$K$1001,"Approved"))</f>
        <v/>
      </c>
      <c r="E92" s="5">
        <f>IF(A92="","",COUNTIFS(TestCases!$B$2:$B$1001,A92,TestCases!$N$2:$N$1001,"Passed"))</f>
        <v/>
      </c>
      <c r="F92" s="5">
        <f>IF(A92="","",COUNTIFS(TestCases!$B$2:$B$1001,A92,TestCases!$N$2:$N$1001,"Failed")+COUNTIFS(TestCases!$B$2:$B$1001,A92,TestCases!$N$2:$N$1001,"Timed out"))</f>
        <v/>
      </c>
      <c r="G92" s="5">
        <f>IF(A92="","",C92-E92-F92-COUNTIFS(TestCases!$B$2:$B$1001,A92,TestCases!$N$2:$N$1001,"Flaky"))</f>
        <v/>
      </c>
      <c r="H92" s="5">
        <f>IF(A92="","",IF(C92=0,"No tests",IF(F92&gt;0,"Failing",IF(E92=C92,"Verified","In progress"))))</f>
        <v/>
      </c>
    </row>
    <row r="93">
      <c r="A93" s="5">
        <f>IF(Requirements!A93="","",Requirements!A93)</f>
        <v/>
      </c>
      <c r="B93" s="5">
        <f>IF(A93="","",Requirements!B93)</f>
        <v/>
      </c>
      <c r="C93" s="5">
        <f>IF(A93="","",COUNTIF(TestCases!$B$2:$B$1001,A93))</f>
        <v/>
      </c>
      <c r="D93" s="5">
        <f>IF(A93="","",COUNTIFS(TestCases!$B$2:$B$1001,A93,TestCases!$K$2:$K$1001,"Approved"))</f>
        <v/>
      </c>
      <c r="E93" s="5">
        <f>IF(A93="","",COUNTIFS(TestCases!$B$2:$B$1001,A93,TestCases!$N$2:$N$1001,"Passed"))</f>
        <v/>
      </c>
      <c r="F93" s="5">
        <f>IF(A93="","",COUNTIFS(TestCases!$B$2:$B$1001,A93,TestCases!$N$2:$N$1001,"Failed")+COUNTIFS(TestCases!$B$2:$B$1001,A93,TestCases!$N$2:$N$1001,"Timed out"))</f>
        <v/>
      </c>
      <c r="G93" s="5">
        <f>IF(A93="","",C93-E93-F93-COUNTIFS(TestCases!$B$2:$B$1001,A93,TestCases!$N$2:$N$1001,"Flaky"))</f>
        <v/>
      </c>
      <c r="H93" s="5">
        <f>IF(A93="","",IF(C93=0,"No tests",IF(F93&gt;0,"Failing",IF(E93=C93,"Verified","In progress"))))</f>
        <v/>
      </c>
    </row>
    <row r="94">
      <c r="A94" s="5">
        <f>IF(Requirements!A94="","",Requirements!A94)</f>
        <v/>
      </c>
      <c r="B94" s="5">
        <f>IF(A94="","",Requirements!B94)</f>
        <v/>
      </c>
      <c r="C94" s="5">
        <f>IF(A94="","",COUNTIF(TestCases!$B$2:$B$1001,A94))</f>
        <v/>
      </c>
      <c r="D94" s="5">
        <f>IF(A94="","",COUNTIFS(TestCases!$B$2:$B$1001,A94,TestCases!$K$2:$K$1001,"Approved"))</f>
        <v/>
      </c>
      <c r="E94" s="5">
        <f>IF(A94="","",COUNTIFS(TestCases!$B$2:$B$1001,A94,TestCases!$N$2:$N$1001,"Passed"))</f>
        <v/>
      </c>
      <c r="F94" s="5">
        <f>IF(A94="","",COUNTIFS(TestCases!$B$2:$B$1001,A94,TestCases!$N$2:$N$1001,"Failed")+COUNTIFS(TestCases!$B$2:$B$1001,A94,TestCases!$N$2:$N$1001,"Timed out"))</f>
        <v/>
      </c>
      <c r="G94" s="5">
        <f>IF(A94="","",C94-E94-F94-COUNTIFS(TestCases!$B$2:$B$1001,A94,TestCases!$N$2:$N$1001,"Flaky"))</f>
        <v/>
      </c>
      <c r="H94" s="5">
        <f>IF(A94="","",IF(C94=0,"No tests",IF(F94&gt;0,"Failing",IF(E94=C94,"Verified","In progress"))))</f>
        <v/>
      </c>
    </row>
    <row r="95">
      <c r="A95" s="5">
        <f>IF(Requirements!A95="","",Requirements!A95)</f>
        <v/>
      </c>
      <c r="B95" s="5">
        <f>IF(A95="","",Requirements!B95)</f>
        <v/>
      </c>
      <c r="C95" s="5">
        <f>IF(A95="","",COUNTIF(TestCases!$B$2:$B$1001,A95))</f>
        <v/>
      </c>
      <c r="D95" s="5">
        <f>IF(A95="","",COUNTIFS(TestCases!$B$2:$B$1001,A95,TestCases!$K$2:$K$1001,"Approved"))</f>
        <v/>
      </c>
      <c r="E95" s="5">
        <f>IF(A95="","",COUNTIFS(TestCases!$B$2:$B$1001,A95,TestCases!$N$2:$N$1001,"Passed"))</f>
        <v/>
      </c>
      <c r="F95" s="5">
        <f>IF(A95="","",COUNTIFS(TestCases!$B$2:$B$1001,A95,TestCases!$N$2:$N$1001,"Failed")+COUNTIFS(TestCases!$B$2:$B$1001,A95,TestCases!$N$2:$N$1001,"Timed out"))</f>
        <v/>
      </c>
      <c r="G95" s="5">
        <f>IF(A95="","",C95-E95-F95-COUNTIFS(TestCases!$B$2:$B$1001,A95,TestCases!$N$2:$N$1001,"Flaky"))</f>
        <v/>
      </c>
      <c r="H95" s="5">
        <f>IF(A95="","",IF(C95=0,"No tests",IF(F95&gt;0,"Failing",IF(E95=C95,"Verified","In progress"))))</f>
        <v/>
      </c>
    </row>
    <row r="96">
      <c r="A96" s="5">
        <f>IF(Requirements!A96="","",Requirements!A96)</f>
        <v/>
      </c>
      <c r="B96" s="5">
        <f>IF(A96="","",Requirements!B96)</f>
        <v/>
      </c>
      <c r="C96" s="5">
        <f>IF(A96="","",COUNTIF(TestCases!$B$2:$B$1001,A96))</f>
        <v/>
      </c>
      <c r="D96" s="5">
        <f>IF(A96="","",COUNTIFS(TestCases!$B$2:$B$1001,A96,TestCases!$K$2:$K$1001,"Approved"))</f>
        <v/>
      </c>
      <c r="E96" s="5">
        <f>IF(A96="","",COUNTIFS(TestCases!$B$2:$B$1001,A96,TestCases!$N$2:$N$1001,"Passed"))</f>
        <v/>
      </c>
      <c r="F96" s="5">
        <f>IF(A96="","",COUNTIFS(TestCases!$B$2:$B$1001,A96,TestCases!$N$2:$N$1001,"Failed")+COUNTIFS(TestCases!$B$2:$B$1001,A96,TestCases!$N$2:$N$1001,"Timed out"))</f>
        <v/>
      </c>
      <c r="G96" s="5">
        <f>IF(A96="","",C96-E96-F96-COUNTIFS(TestCases!$B$2:$B$1001,A96,TestCases!$N$2:$N$1001,"Flaky"))</f>
        <v/>
      </c>
      <c r="H96" s="5">
        <f>IF(A96="","",IF(C96=0,"No tests",IF(F96&gt;0,"Failing",IF(E96=C96,"Verified","In progress"))))</f>
        <v/>
      </c>
    </row>
    <row r="97">
      <c r="A97" s="5">
        <f>IF(Requirements!A97="","",Requirements!A97)</f>
        <v/>
      </c>
      <c r="B97" s="5">
        <f>IF(A97="","",Requirements!B97)</f>
        <v/>
      </c>
      <c r="C97" s="5">
        <f>IF(A97="","",COUNTIF(TestCases!$B$2:$B$1001,A97))</f>
        <v/>
      </c>
      <c r="D97" s="5">
        <f>IF(A97="","",COUNTIFS(TestCases!$B$2:$B$1001,A97,TestCases!$K$2:$K$1001,"Approved"))</f>
        <v/>
      </c>
      <c r="E97" s="5">
        <f>IF(A97="","",COUNTIFS(TestCases!$B$2:$B$1001,A97,TestCases!$N$2:$N$1001,"Passed"))</f>
        <v/>
      </c>
      <c r="F97" s="5">
        <f>IF(A97="","",COUNTIFS(TestCases!$B$2:$B$1001,A97,TestCases!$N$2:$N$1001,"Failed")+COUNTIFS(TestCases!$B$2:$B$1001,A97,TestCases!$N$2:$N$1001,"Timed out"))</f>
        <v/>
      </c>
      <c r="G97" s="5">
        <f>IF(A97="","",C97-E97-F97-COUNTIFS(TestCases!$B$2:$B$1001,A97,TestCases!$N$2:$N$1001,"Flaky"))</f>
        <v/>
      </c>
      <c r="H97" s="5">
        <f>IF(A97="","",IF(C97=0,"No tests",IF(F97&gt;0,"Failing",IF(E97=C97,"Verified","In progress"))))</f>
        <v/>
      </c>
    </row>
    <row r="98">
      <c r="A98" s="5">
        <f>IF(Requirements!A98="","",Requirements!A98)</f>
        <v/>
      </c>
      <c r="B98" s="5">
        <f>IF(A98="","",Requirements!B98)</f>
        <v/>
      </c>
      <c r="C98" s="5">
        <f>IF(A98="","",COUNTIF(TestCases!$B$2:$B$1001,A98))</f>
        <v/>
      </c>
      <c r="D98" s="5">
        <f>IF(A98="","",COUNTIFS(TestCases!$B$2:$B$1001,A98,TestCases!$K$2:$K$1001,"Approved"))</f>
        <v/>
      </c>
      <c r="E98" s="5">
        <f>IF(A98="","",COUNTIFS(TestCases!$B$2:$B$1001,A98,TestCases!$N$2:$N$1001,"Passed"))</f>
        <v/>
      </c>
      <c r="F98" s="5">
        <f>IF(A98="","",COUNTIFS(TestCases!$B$2:$B$1001,A98,TestCases!$N$2:$N$1001,"Failed")+COUNTIFS(TestCases!$B$2:$B$1001,A98,TestCases!$N$2:$N$1001,"Timed out"))</f>
        <v/>
      </c>
      <c r="G98" s="5">
        <f>IF(A98="","",C98-E98-F98-COUNTIFS(TestCases!$B$2:$B$1001,A98,TestCases!$N$2:$N$1001,"Flaky"))</f>
        <v/>
      </c>
      <c r="H98" s="5">
        <f>IF(A98="","",IF(C98=0,"No tests",IF(F98&gt;0,"Failing",IF(E98=C98,"Verified","In progress"))))</f>
        <v/>
      </c>
    </row>
    <row r="99">
      <c r="A99" s="5">
        <f>IF(Requirements!A99="","",Requirements!A99)</f>
        <v/>
      </c>
      <c r="B99" s="5">
        <f>IF(A99="","",Requirements!B99)</f>
        <v/>
      </c>
      <c r="C99" s="5">
        <f>IF(A99="","",COUNTIF(TestCases!$B$2:$B$1001,A99))</f>
        <v/>
      </c>
      <c r="D99" s="5">
        <f>IF(A99="","",COUNTIFS(TestCases!$B$2:$B$1001,A99,TestCases!$K$2:$K$1001,"Approved"))</f>
        <v/>
      </c>
      <c r="E99" s="5">
        <f>IF(A99="","",COUNTIFS(TestCases!$B$2:$B$1001,A99,TestCases!$N$2:$N$1001,"Passed"))</f>
        <v/>
      </c>
      <c r="F99" s="5">
        <f>IF(A99="","",COUNTIFS(TestCases!$B$2:$B$1001,A99,TestCases!$N$2:$N$1001,"Failed")+COUNTIFS(TestCases!$B$2:$B$1001,A99,TestCases!$N$2:$N$1001,"Timed out"))</f>
        <v/>
      </c>
      <c r="G99" s="5">
        <f>IF(A99="","",C99-E99-F99-COUNTIFS(TestCases!$B$2:$B$1001,A99,TestCases!$N$2:$N$1001,"Flaky"))</f>
        <v/>
      </c>
      <c r="H99" s="5">
        <f>IF(A99="","",IF(C99=0,"No tests",IF(F99&gt;0,"Failing",IF(E99=C99,"Verified","In progress"))))</f>
        <v/>
      </c>
    </row>
    <row r="100">
      <c r="A100" s="5">
        <f>IF(Requirements!A100="","",Requirements!A100)</f>
        <v/>
      </c>
      <c r="B100" s="5">
        <f>IF(A100="","",Requirements!B100)</f>
        <v/>
      </c>
      <c r="C100" s="5">
        <f>IF(A100="","",COUNTIF(TestCases!$B$2:$B$1001,A100))</f>
        <v/>
      </c>
      <c r="D100" s="5">
        <f>IF(A100="","",COUNTIFS(TestCases!$B$2:$B$1001,A100,TestCases!$K$2:$K$1001,"Approved"))</f>
        <v/>
      </c>
      <c r="E100" s="5">
        <f>IF(A100="","",COUNTIFS(TestCases!$B$2:$B$1001,A100,TestCases!$N$2:$N$1001,"Passed"))</f>
        <v/>
      </c>
      <c r="F100" s="5">
        <f>IF(A100="","",COUNTIFS(TestCases!$B$2:$B$1001,A100,TestCases!$N$2:$N$1001,"Failed")+COUNTIFS(TestCases!$B$2:$B$1001,A100,TestCases!$N$2:$N$1001,"Timed out"))</f>
        <v/>
      </c>
      <c r="G100" s="5">
        <f>IF(A100="","",C100-E100-F100-COUNTIFS(TestCases!$B$2:$B$1001,A100,TestCases!$N$2:$N$1001,"Flaky"))</f>
        <v/>
      </c>
      <c r="H100" s="5">
        <f>IF(A100="","",IF(C100=0,"No tests",IF(F100&gt;0,"Failing",IF(E100=C100,"Verified","In progress"))))</f>
        <v/>
      </c>
    </row>
    <row r="101">
      <c r="A101" s="5">
        <f>IF(Requirements!A101="","",Requirements!A101)</f>
        <v/>
      </c>
      <c r="B101" s="5">
        <f>IF(A101="","",Requirements!B101)</f>
        <v/>
      </c>
      <c r="C101" s="5">
        <f>IF(A101="","",COUNTIF(TestCases!$B$2:$B$1001,A101))</f>
        <v/>
      </c>
      <c r="D101" s="5">
        <f>IF(A101="","",COUNTIFS(TestCases!$B$2:$B$1001,A101,TestCases!$K$2:$K$1001,"Approved"))</f>
        <v/>
      </c>
      <c r="E101" s="5">
        <f>IF(A101="","",COUNTIFS(TestCases!$B$2:$B$1001,A101,TestCases!$N$2:$N$1001,"Passed"))</f>
        <v/>
      </c>
      <c r="F101" s="5">
        <f>IF(A101="","",COUNTIFS(TestCases!$B$2:$B$1001,A101,TestCases!$N$2:$N$1001,"Failed")+COUNTIFS(TestCases!$B$2:$B$1001,A101,TestCases!$N$2:$N$1001,"Timed out"))</f>
        <v/>
      </c>
      <c r="G101" s="5">
        <f>IF(A101="","",C101-E101-F101-COUNTIFS(TestCases!$B$2:$B$1001,A101,TestCases!$N$2:$N$1001,"Flaky"))</f>
        <v/>
      </c>
      <c r="H101" s="5">
        <f>IF(A101="","",IF(C101=0,"No tests",IF(F101&gt;0,"Failing",IF(E101=C101,"Verified","In progress"))))</f>
        <v/>
      </c>
    </row>
    <row r="102">
      <c r="A102" s="5">
        <f>IF(Requirements!A102="","",Requirements!A102)</f>
        <v/>
      </c>
      <c r="B102" s="5">
        <f>IF(A102="","",Requirements!B102)</f>
        <v/>
      </c>
      <c r="C102" s="5">
        <f>IF(A102="","",COUNTIF(TestCases!$B$2:$B$1001,A102))</f>
        <v/>
      </c>
      <c r="D102" s="5">
        <f>IF(A102="","",COUNTIFS(TestCases!$B$2:$B$1001,A102,TestCases!$K$2:$K$1001,"Approved"))</f>
        <v/>
      </c>
      <c r="E102" s="5">
        <f>IF(A102="","",COUNTIFS(TestCases!$B$2:$B$1001,A102,TestCases!$N$2:$N$1001,"Passed"))</f>
        <v/>
      </c>
      <c r="F102" s="5">
        <f>IF(A102="","",COUNTIFS(TestCases!$B$2:$B$1001,A102,TestCases!$N$2:$N$1001,"Failed")+COUNTIFS(TestCases!$B$2:$B$1001,A102,TestCases!$N$2:$N$1001,"Timed out"))</f>
        <v/>
      </c>
      <c r="G102" s="5">
        <f>IF(A102="","",C102-E102-F102-COUNTIFS(TestCases!$B$2:$B$1001,A102,TestCases!$N$2:$N$1001,"Flaky"))</f>
        <v/>
      </c>
      <c r="H102" s="5">
        <f>IF(A102="","",IF(C102=0,"No tests",IF(F102&gt;0,"Failing",IF(E102=C102,"Verified","In progress"))))</f>
        <v/>
      </c>
    </row>
    <row r="103">
      <c r="A103" s="5">
        <f>IF(Requirements!A103="","",Requirements!A103)</f>
        <v/>
      </c>
      <c r="B103" s="5">
        <f>IF(A103="","",Requirements!B103)</f>
        <v/>
      </c>
      <c r="C103" s="5">
        <f>IF(A103="","",COUNTIF(TestCases!$B$2:$B$1001,A103))</f>
        <v/>
      </c>
      <c r="D103" s="5">
        <f>IF(A103="","",COUNTIFS(TestCases!$B$2:$B$1001,A103,TestCases!$K$2:$K$1001,"Approved"))</f>
        <v/>
      </c>
      <c r="E103" s="5">
        <f>IF(A103="","",COUNTIFS(TestCases!$B$2:$B$1001,A103,TestCases!$N$2:$N$1001,"Passed"))</f>
        <v/>
      </c>
      <c r="F103" s="5">
        <f>IF(A103="","",COUNTIFS(TestCases!$B$2:$B$1001,A103,TestCases!$N$2:$N$1001,"Failed")+COUNTIFS(TestCases!$B$2:$B$1001,A103,TestCases!$N$2:$N$1001,"Timed out"))</f>
        <v/>
      </c>
      <c r="G103" s="5">
        <f>IF(A103="","",C103-E103-F103-COUNTIFS(TestCases!$B$2:$B$1001,A103,TestCases!$N$2:$N$1001,"Flaky"))</f>
        <v/>
      </c>
      <c r="H103" s="5">
        <f>IF(A103="","",IF(C103=0,"No tests",IF(F103&gt;0,"Failing",IF(E103=C103,"Verified","In progress"))))</f>
        <v/>
      </c>
    </row>
    <row r="104">
      <c r="A104" s="5">
        <f>IF(Requirements!A104="","",Requirements!A104)</f>
        <v/>
      </c>
      <c r="B104" s="5">
        <f>IF(A104="","",Requirements!B104)</f>
        <v/>
      </c>
      <c r="C104" s="5">
        <f>IF(A104="","",COUNTIF(TestCases!$B$2:$B$1001,A104))</f>
        <v/>
      </c>
      <c r="D104" s="5">
        <f>IF(A104="","",COUNTIFS(TestCases!$B$2:$B$1001,A104,TestCases!$K$2:$K$1001,"Approved"))</f>
        <v/>
      </c>
      <c r="E104" s="5">
        <f>IF(A104="","",COUNTIFS(TestCases!$B$2:$B$1001,A104,TestCases!$N$2:$N$1001,"Passed"))</f>
        <v/>
      </c>
      <c r="F104" s="5">
        <f>IF(A104="","",COUNTIFS(TestCases!$B$2:$B$1001,A104,TestCases!$N$2:$N$1001,"Failed")+COUNTIFS(TestCases!$B$2:$B$1001,A104,TestCases!$N$2:$N$1001,"Timed out"))</f>
        <v/>
      </c>
      <c r="G104" s="5">
        <f>IF(A104="","",C104-E104-F104-COUNTIFS(TestCases!$B$2:$B$1001,A104,TestCases!$N$2:$N$1001,"Flaky"))</f>
        <v/>
      </c>
      <c r="H104" s="5">
        <f>IF(A104="","",IF(C104=0,"No tests",IF(F104&gt;0,"Failing",IF(E104=C104,"Verified","In progress"))))</f>
        <v/>
      </c>
    </row>
    <row r="105">
      <c r="A105" s="5">
        <f>IF(Requirements!A105="","",Requirements!A105)</f>
        <v/>
      </c>
      <c r="B105" s="5">
        <f>IF(A105="","",Requirements!B105)</f>
        <v/>
      </c>
      <c r="C105" s="5">
        <f>IF(A105="","",COUNTIF(TestCases!$B$2:$B$1001,A105))</f>
        <v/>
      </c>
      <c r="D105" s="5">
        <f>IF(A105="","",COUNTIFS(TestCases!$B$2:$B$1001,A105,TestCases!$K$2:$K$1001,"Approved"))</f>
        <v/>
      </c>
      <c r="E105" s="5">
        <f>IF(A105="","",COUNTIFS(TestCases!$B$2:$B$1001,A105,TestCases!$N$2:$N$1001,"Passed"))</f>
        <v/>
      </c>
      <c r="F105" s="5">
        <f>IF(A105="","",COUNTIFS(TestCases!$B$2:$B$1001,A105,TestCases!$N$2:$N$1001,"Failed")+COUNTIFS(TestCases!$B$2:$B$1001,A105,TestCases!$N$2:$N$1001,"Timed out"))</f>
        <v/>
      </c>
      <c r="G105" s="5">
        <f>IF(A105="","",C105-E105-F105-COUNTIFS(TestCases!$B$2:$B$1001,A105,TestCases!$N$2:$N$1001,"Flaky"))</f>
        <v/>
      </c>
      <c r="H105" s="5">
        <f>IF(A105="","",IF(C105=0,"No tests",IF(F105&gt;0,"Failing",IF(E105=C105,"Verified","In progress"))))</f>
        <v/>
      </c>
    </row>
    <row r="106">
      <c r="A106" s="5">
        <f>IF(Requirements!A106="","",Requirements!A106)</f>
        <v/>
      </c>
      <c r="B106" s="5">
        <f>IF(A106="","",Requirements!B106)</f>
        <v/>
      </c>
      <c r="C106" s="5">
        <f>IF(A106="","",COUNTIF(TestCases!$B$2:$B$1001,A106))</f>
        <v/>
      </c>
      <c r="D106" s="5">
        <f>IF(A106="","",COUNTIFS(TestCases!$B$2:$B$1001,A106,TestCases!$K$2:$K$1001,"Approved"))</f>
        <v/>
      </c>
      <c r="E106" s="5">
        <f>IF(A106="","",COUNTIFS(TestCases!$B$2:$B$1001,A106,TestCases!$N$2:$N$1001,"Passed"))</f>
        <v/>
      </c>
      <c r="F106" s="5">
        <f>IF(A106="","",COUNTIFS(TestCases!$B$2:$B$1001,A106,TestCases!$N$2:$N$1001,"Failed")+COUNTIFS(TestCases!$B$2:$B$1001,A106,TestCases!$N$2:$N$1001,"Timed out"))</f>
        <v/>
      </c>
      <c r="G106" s="5">
        <f>IF(A106="","",C106-E106-F106-COUNTIFS(TestCases!$B$2:$B$1001,A106,TestCases!$N$2:$N$1001,"Flaky"))</f>
        <v/>
      </c>
      <c r="H106" s="5">
        <f>IF(A106="","",IF(C106=0,"No tests",IF(F106&gt;0,"Failing",IF(E106=C106,"Verified","In progress"))))</f>
        <v/>
      </c>
    </row>
    <row r="107">
      <c r="A107" s="5">
        <f>IF(Requirements!A107="","",Requirements!A107)</f>
        <v/>
      </c>
      <c r="B107" s="5">
        <f>IF(A107="","",Requirements!B107)</f>
        <v/>
      </c>
      <c r="C107" s="5">
        <f>IF(A107="","",COUNTIF(TestCases!$B$2:$B$1001,A107))</f>
        <v/>
      </c>
      <c r="D107" s="5">
        <f>IF(A107="","",COUNTIFS(TestCases!$B$2:$B$1001,A107,TestCases!$K$2:$K$1001,"Approved"))</f>
        <v/>
      </c>
      <c r="E107" s="5">
        <f>IF(A107="","",COUNTIFS(TestCases!$B$2:$B$1001,A107,TestCases!$N$2:$N$1001,"Passed"))</f>
        <v/>
      </c>
      <c r="F107" s="5">
        <f>IF(A107="","",COUNTIFS(TestCases!$B$2:$B$1001,A107,TestCases!$N$2:$N$1001,"Failed")+COUNTIFS(TestCases!$B$2:$B$1001,A107,TestCases!$N$2:$N$1001,"Timed out"))</f>
        <v/>
      </c>
      <c r="G107" s="5">
        <f>IF(A107="","",C107-E107-F107-COUNTIFS(TestCases!$B$2:$B$1001,A107,TestCases!$N$2:$N$1001,"Flaky"))</f>
        <v/>
      </c>
      <c r="H107" s="5">
        <f>IF(A107="","",IF(C107=0,"No tests",IF(F107&gt;0,"Failing",IF(E107=C107,"Verified","In progress"))))</f>
        <v/>
      </c>
    </row>
    <row r="108">
      <c r="A108" s="5">
        <f>IF(Requirements!A108="","",Requirements!A108)</f>
        <v/>
      </c>
      <c r="B108" s="5">
        <f>IF(A108="","",Requirements!B108)</f>
        <v/>
      </c>
      <c r="C108" s="5">
        <f>IF(A108="","",COUNTIF(TestCases!$B$2:$B$1001,A108))</f>
        <v/>
      </c>
      <c r="D108" s="5">
        <f>IF(A108="","",COUNTIFS(TestCases!$B$2:$B$1001,A108,TestCases!$K$2:$K$1001,"Approved"))</f>
        <v/>
      </c>
      <c r="E108" s="5">
        <f>IF(A108="","",COUNTIFS(TestCases!$B$2:$B$1001,A108,TestCases!$N$2:$N$1001,"Passed"))</f>
        <v/>
      </c>
      <c r="F108" s="5">
        <f>IF(A108="","",COUNTIFS(TestCases!$B$2:$B$1001,A108,TestCases!$N$2:$N$1001,"Failed")+COUNTIFS(TestCases!$B$2:$B$1001,A108,TestCases!$N$2:$N$1001,"Timed out"))</f>
        <v/>
      </c>
      <c r="G108" s="5">
        <f>IF(A108="","",C108-E108-F108-COUNTIFS(TestCases!$B$2:$B$1001,A108,TestCases!$N$2:$N$1001,"Flaky"))</f>
        <v/>
      </c>
      <c r="H108" s="5">
        <f>IF(A108="","",IF(C108=0,"No tests",IF(F108&gt;0,"Failing",IF(E108=C108,"Verified","In progress"))))</f>
        <v/>
      </c>
    </row>
    <row r="109">
      <c r="A109" s="5">
        <f>IF(Requirements!A109="","",Requirements!A109)</f>
        <v/>
      </c>
      <c r="B109" s="5">
        <f>IF(A109="","",Requirements!B109)</f>
        <v/>
      </c>
      <c r="C109" s="5">
        <f>IF(A109="","",COUNTIF(TestCases!$B$2:$B$1001,A109))</f>
        <v/>
      </c>
      <c r="D109" s="5">
        <f>IF(A109="","",COUNTIFS(TestCases!$B$2:$B$1001,A109,TestCases!$K$2:$K$1001,"Approved"))</f>
        <v/>
      </c>
      <c r="E109" s="5">
        <f>IF(A109="","",COUNTIFS(TestCases!$B$2:$B$1001,A109,TestCases!$N$2:$N$1001,"Passed"))</f>
        <v/>
      </c>
      <c r="F109" s="5">
        <f>IF(A109="","",COUNTIFS(TestCases!$B$2:$B$1001,A109,TestCases!$N$2:$N$1001,"Failed")+COUNTIFS(TestCases!$B$2:$B$1001,A109,TestCases!$N$2:$N$1001,"Timed out"))</f>
        <v/>
      </c>
      <c r="G109" s="5">
        <f>IF(A109="","",C109-E109-F109-COUNTIFS(TestCases!$B$2:$B$1001,A109,TestCases!$N$2:$N$1001,"Flaky"))</f>
        <v/>
      </c>
      <c r="H109" s="5">
        <f>IF(A109="","",IF(C109=0,"No tests",IF(F109&gt;0,"Failing",IF(E109=C109,"Verified","In progress"))))</f>
        <v/>
      </c>
    </row>
    <row r="110">
      <c r="A110" s="5">
        <f>IF(Requirements!A110="","",Requirements!A110)</f>
        <v/>
      </c>
      <c r="B110" s="5">
        <f>IF(A110="","",Requirements!B110)</f>
        <v/>
      </c>
      <c r="C110" s="5">
        <f>IF(A110="","",COUNTIF(TestCases!$B$2:$B$1001,A110))</f>
        <v/>
      </c>
      <c r="D110" s="5">
        <f>IF(A110="","",COUNTIFS(TestCases!$B$2:$B$1001,A110,TestCases!$K$2:$K$1001,"Approved"))</f>
        <v/>
      </c>
      <c r="E110" s="5">
        <f>IF(A110="","",COUNTIFS(TestCases!$B$2:$B$1001,A110,TestCases!$N$2:$N$1001,"Passed"))</f>
        <v/>
      </c>
      <c r="F110" s="5">
        <f>IF(A110="","",COUNTIFS(TestCases!$B$2:$B$1001,A110,TestCases!$N$2:$N$1001,"Failed")+COUNTIFS(TestCases!$B$2:$B$1001,A110,TestCases!$N$2:$N$1001,"Timed out"))</f>
        <v/>
      </c>
      <c r="G110" s="5">
        <f>IF(A110="","",C110-E110-F110-COUNTIFS(TestCases!$B$2:$B$1001,A110,TestCases!$N$2:$N$1001,"Flaky"))</f>
        <v/>
      </c>
      <c r="H110" s="5">
        <f>IF(A110="","",IF(C110=0,"No tests",IF(F110&gt;0,"Failing",IF(E110=C110,"Verified","In progress"))))</f>
        <v/>
      </c>
    </row>
    <row r="111">
      <c r="A111" s="5">
        <f>IF(Requirements!A111="","",Requirements!A111)</f>
        <v/>
      </c>
      <c r="B111" s="5">
        <f>IF(A111="","",Requirements!B111)</f>
        <v/>
      </c>
      <c r="C111" s="5">
        <f>IF(A111="","",COUNTIF(TestCases!$B$2:$B$1001,A111))</f>
        <v/>
      </c>
      <c r="D111" s="5">
        <f>IF(A111="","",COUNTIFS(TestCases!$B$2:$B$1001,A111,TestCases!$K$2:$K$1001,"Approved"))</f>
        <v/>
      </c>
      <c r="E111" s="5">
        <f>IF(A111="","",COUNTIFS(TestCases!$B$2:$B$1001,A111,TestCases!$N$2:$N$1001,"Passed"))</f>
        <v/>
      </c>
      <c r="F111" s="5">
        <f>IF(A111="","",COUNTIFS(TestCases!$B$2:$B$1001,A111,TestCases!$N$2:$N$1001,"Failed")+COUNTIFS(TestCases!$B$2:$B$1001,A111,TestCases!$N$2:$N$1001,"Timed out"))</f>
        <v/>
      </c>
      <c r="G111" s="5">
        <f>IF(A111="","",C111-E111-F111-COUNTIFS(TestCases!$B$2:$B$1001,A111,TestCases!$N$2:$N$1001,"Flaky"))</f>
        <v/>
      </c>
      <c r="H111" s="5">
        <f>IF(A111="","",IF(C111=0,"No tests",IF(F111&gt;0,"Failing",IF(E111=C111,"Verified","In progress"))))</f>
        <v/>
      </c>
    </row>
    <row r="112">
      <c r="A112" s="5">
        <f>IF(Requirements!A112="","",Requirements!A112)</f>
        <v/>
      </c>
      <c r="B112" s="5">
        <f>IF(A112="","",Requirements!B112)</f>
        <v/>
      </c>
      <c r="C112" s="5">
        <f>IF(A112="","",COUNTIF(TestCases!$B$2:$B$1001,A112))</f>
        <v/>
      </c>
      <c r="D112" s="5">
        <f>IF(A112="","",COUNTIFS(TestCases!$B$2:$B$1001,A112,TestCases!$K$2:$K$1001,"Approved"))</f>
        <v/>
      </c>
      <c r="E112" s="5">
        <f>IF(A112="","",COUNTIFS(TestCases!$B$2:$B$1001,A112,TestCases!$N$2:$N$1001,"Passed"))</f>
        <v/>
      </c>
      <c r="F112" s="5">
        <f>IF(A112="","",COUNTIFS(TestCases!$B$2:$B$1001,A112,TestCases!$N$2:$N$1001,"Failed")+COUNTIFS(TestCases!$B$2:$B$1001,A112,TestCases!$N$2:$N$1001,"Timed out"))</f>
        <v/>
      </c>
      <c r="G112" s="5">
        <f>IF(A112="","",C112-E112-F112-COUNTIFS(TestCases!$B$2:$B$1001,A112,TestCases!$N$2:$N$1001,"Flaky"))</f>
        <v/>
      </c>
      <c r="H112" s="5">
        <f>IF(A112="","",IF(C112=0,"No tests",IF(F112&gt;0,"Failing",IF(E112=C112,"Verified","In progress"))))</f>
        <v/>
      </c>
    </row>
    <row r="113">
      <c r="A113" s="5">
        <f>IF(Requirements!A113="","",Requirements!A113)</f>
        <v/>
      </c>
      <c r="B113" s="5">
        <f>IF(A113="","",Requirements!B113)</f>
        <v/>
      </c>
      <c r="C113" s="5">
        <f>IF(A113="","",COUNTIF(TestCases!$B$2:$B$1001,A113))</f>
        <v/>
      </c>
      <c r="D113" s="5">
        <f>IF(A113="","",COUNTIFS(TestCases!$B$2:$B$1001,A113,TestCases!$K$2:$K$1001,"Approved"))</f>
        <v/>
      </c>
      <c r="E113" s="5">
        <f>IF(A113="","",COUNTIFS(TestCases!$B$2:$B$1001,A113,TestCases!$N$2:$N$1001,"Passed"))</f>
        <v/>
      </c>
      <c r="F113" s="5">
        <f>IF(A113="","",COUNTIFS(TestCases!$B$2:$B$1001,A113,TestCases!$N$2:$N$1001,"Failed")+COUNTIFS(TestCases!$B$2:$B$1001,A113,TestCases!$N$2:$N$1001,"Timed out"))</f>
        <v/>
      </c>
      <c r="G113" s="5">
        <f>IF(A113="","",C113-E113-F113-COUNTIFS(TestCases!$B$2:$B$1001,A113,TestCases!$N$2:$N$1001,"Flaky"))</f>
        <v/>
      </c>
      <c r="H113" s="5">
        <f>IF(A113="","",IF(C113=0,"No tests",IF(F113&gt;0,"Failing",IF(E113=C113,"Verified","In progress"))))</f>
        <v/>
      </c>
    </row>
    <row r="114">
      <c r="A114" s="5">
        <f>IF(Requirements!A114="","",Requirements!A114)</f>
        <v/>
      </c>
      <c r="B114" s="5">
        <f>IF(A114="","",Requirements!B114)</f>
        <v/>
      </c>
      <c r="C114" s="5">
        <f>IF(A114="","",COUNTIF(TestCases!$B$2:$B$1001,A114))</f>
        <v/>
      </c>
      <c r="D114" s="5">
        <f>IF(A114="","",COUNTIFS(TestCases!$B$2:$B$1001,A114,TestCases!$K$2:$K$1001,"Approved"))</f>
        <v/>
      </c>
      <c r="E114" s="5">
        <f>IF(A114="","",COUNTIFS(TestCases!$B$2:$B$1001,A114,TestCases!$N$2:$N$1001,"Passed"))</f>
        <v/>
      </c>
      <c r="F114" s="5">
        <f>IF(A114="","",COUNTIFS(TestCases!$B$2:$B$1001,A114,TestCases!$N$2:$N$1001,"Failed")+COUNTIFS(TestCases!$B$2:$B$1001,A114,TestCases!$N$2:$N$1001,"Timed out"))</f>
        <v/>
      </c>
      <c r="G114" s="5">
        <f>IF(A114="","",C114-E114-F114-COUNTIFS(TestCases!$B$2:$B$1001,A114,TestCases!$N$2:$N$1001,"Flaky"))</f>
        <v/>
      </c>
      <c r="H114" s="5">
        <f>IF(A114="","",IF(C114=0,"No tests",IF(F114&gt;0,"Failing",IF(E114=C114,"Verified","In progress"))))</f>
        <v/>
      </c>
    </row>
    <row r="115">
      <c r="A115" s="5">
        <f>IF(Requirements!A115="","",Requirements!A115)</f>
        <v/>
      </c>
      <c r="B115" s="5">
        <f>IF(A115="","",Requirements!B115)</f>
        <v/>
      </c>
      <c r="C115" s="5">
        <f>IF(A115="","",COUNTIF(TestCases!$B$2:$B$1001,A115))</f>
        <v/>
      </c>
      <c r="D115" s="5">
        <f>IF(A115="","",COUNTIFS(TestCases!$B$2:$B$1001,A115,TestCases!$K$2:$K$1001,"Approved"))</f>
        <v/>
      </c>
      <c r="E115" s="5">
        <f>IF(A115="","",COUNTIFS(TestCases!$B$2:$B$1001,A115,TestCases!$N$2:$N$1001,"Passed"))</f>
        <v/>
      </c>
      <c r="F115" s="5">
        <f>IF(A115="","",COUNTIFS(TestCases!$B$2:$B$1001,A115,TestCases!$N$2:$N$1001,"Failed")+COUNTIFS(TestCases!$B$2:$B$1001,A115,TestCases!$N$2:$N$1001,"Timed out"))</f>
        <v/>
      </c>
      <c r="G115" s="5">
        <f>IF(A115="","",C115-E115-F115-COUNTIFS(TestCases!$B$2:$B$1001,A115,TestCases!$N$2:$N$1001,"Flaky"))</f>
        <v/>
      </c>
      <c r="H115" s="5">
        <f>IF(A115="","",IF(C115=0,"No tests",IF(F115&gt;0,"Failing",IF(E115=C115,"Verified","In progress"))))</f>
        <v/>
      </c>
    </row>
    <row r="116">
      <c r="A116" s="5">
        <f>IF(Requirements!A116="","",Requirements!A116)</f>
        <v/>
      </c>
      <c r="B116" s="5">
        <f>IF(A116="","",Requirements!B116)</f>
        <v/>
      </c>
      <c r="C116" s="5">
        <f>IF(A116="","",COUNTIF(TestCases!$B$2:$B$1001,A116))</f>
        <v/>
      </c>
      <c r="D116" s="5">
        <f>IF(A116="","",COUNTIFS(TestCases!$B$2:$B$1001,A116,TestCases!$K$2:$K$1001,"Approved"))</f>
        <v/>
      </c>
      <c r="E116" s="5">
        <f>IF(A116="","",COUNTIFS(TestCases!$B$2:$B$1001,A116,TestCases!$N$2:$N$1001,"Passed"))</f>
        <v/>
      </c>
      <c r="F116" s="5">
        <f>IF(A116="","",COUNTIFS(TestCases!$B$2:$B$1001,A116,TestCases!$N$2:$N$1001,"Failed")+COUNTIFS(TestCases!$B$2:$B$1001,A116,TestCases!$N$2:$N$1001,"Timed out"))</f>
        <v/>
      </c>
      <c r="G116" s="5">
        <f>IF(A116="","",C116-E116-F116-COUNTIFS(TestCases!$B$2:$B$1001,A116,TestCases!$N$2:$N$1001,"Flaky"))</f>
        <v/>
      </c>
      <c r="H116" s="5">
        <f>IF(A116="","",IF(C116=0,"No tests",IF(F116&gt;0,"Failing",IF(E116=C116,"Verified","In progress"))))</f>
        <v/>
      </c>
    </row>
    <row r="117">
      <c r="A117" s="5">
        <f>IF(Requirements!A117="","",Requirements!A117)</f>
        <v/>
      </c>
      <c r="B117" s="5">
        <f>IF(A117="","",Requirements!B117)</f>
        <v/>
      </c>
      <c r="C117" s="5">
        <f>IF(A117="","",COUNTIF(TestCases!$B$2:$B$1001,A117))</f>
        <v/>
      </c>
      <c r="D117" s="5">
        <f>IF(A117="","",COUNTIFS(TestCases!$B$2:$B$1001,A117,TestCases!$K$2:$K$1001,"Approved"))</f>
        <v/>
      </c>
      <c r="E117" s="5">
        <f>IF(A117="","",COUNTIFS(TestCases!$B$2:$B$1001,A117,TestCases!$N$2:$N$1001,"Passed"))</f>
        <v/>
      </c>
      <c r="F117" s="5">
        <f>IF(A117="","",COUNTIFS(TestCases!$B$2:$B$1001,A117,TestCases!$N$2:$N$1001,"Failed")+COUNTIFS(TestCases!$B$2:$B$1001,A117,TestCases!$N$2:$N$1001,"Timed out"))</f>
        <v/>
      </c>
      <c r="G117" s="5">
        <f>IF(A117="","",C117-E117-F117-COUNTIFS(TestCases!$B$2:$B$1001,A117,TestCases!$N$2:$N$1001,"Flaky"))</f>
        <v/>
      </c>
      <c r="H117" s="5">
        <f>IF(A117="","",IF(C117=0,"No tests",IF(F117&gt;0,"Failing",IF(E117=C117,"Verified","In progress"))))</f>
        <v/>
      </c>
    </row>
    <row r="118">
      <c r="A118" s="5">
        <f>IF(Requirements!A118="","",Requirements!A118)</f>
        <v/>
      </c>
      <c r="B118" s="5">
        <f>IF(A118="","",Requirements!B118)</f>
        <v/>
      </c>
      <c r="C118" s="5">
        <f>IF(A118="","",COUNTIF(TestCases!$B$2:$B$1001,A118))</f>
        <v/>
      </c>
      <c r="D118" s="5">
        <f>IF(A118="","",COUNTIFS(TestCases!$B$2:$B$1001,A118,TestCases!$K$2:$K$1001,"Approved"))</f>
        <v/>
      </c>
      <c r="E118" s="5">
        <f>IF(A118="","",COUNTIFS(TestCases!$B$2:$B$1001,A118,TestCases!$N$2:$N$1001,"Passed"))</f>
        <v/>
      </c>
      <c r="F118" s="5">
        <f>IF(A118="","",COUNTIFS(TestCases!$B$2:$B$1001,A118,TestCases!$N$2:$N$1001,"Failed")+COUNTIFS(TestCases!$B$2:$B$1001,A118,TestCases!$N$2:$N$1001,"Timed out"))</f>
        <v/>
      </c>
      <c r="G118" s="5">
        <f>IF(A118="","",C118-E118-F118-COUNTIFS(TestCases!$B$2:$B$1001,A118,TestCases!$N$2:$N$1001,"Flaky"))</f>
        <v/>
      </c>
      <c r="H118" s="5">
        <f>IF(A118="","",IF(C118=0,"No tests",IF(F118&gt;0,"Failing",IF(E118=C118,"Verified","In progress"))))</f>
        <v/>
      </c>
    </row>
    <row r="119">
      <c r="A119" s="5">
        <f>IF(Requirements!A119="","",Requirements!A119)</f>
        <v/>
      </c>
      <c r="B119" s="5">
        <f>IF(A119="","",Requirements!B119)</f>
        <v/>
      </c>
      <c r="C119" s="5">
        <f>IF(A119="","",COUNTIF(TestCases!$B$2:$B$1001,A119))</f>
        <v/>
      </c>
      <c r="D119" s="5">
        <f>IF(A119="","",COUNTIFS(TestCases!$B$2:$B$1001,A119,TestCases!$K$2:$K$1001,"Approved"))</f>
        <v/>
      </c>
      <c r="E119" s="5">
        <f>IF(A119="","",COUNTIFS(TestCases!$B$2:$B$1001,A119,TestCases!$N$2:$N$1001,"Passed"))</f>
        <v/>
      </c>
      <c r="F119" s="5">
        <f>IF(A119="","",COUNTIFS(TestCases!$B$2:$B$1001,A119,TestCases!$N$2:$N$1001,"Failed")+COUNTIFS(TestCases!$B$2:$B$1001,A119,TestCases!$N$2:$N$1001,"Timed out"))</f>
        <v/>
      </c>
      <c r="G119" s="5">
        <f>IF(A119="","",C119-E119-F119-COUNTIFS(TestCases!$B$2:$B$1001,A119,TestCases!$N$2:$N$1001,"Flaky"))</f>
        <v/>
      </c>
      <c r="H119" s="5">
        <f>IF(A119="","",IF(C119=0,"No tests",IF(F119&gt;0,"Failing",IF(E119=C119,"Verified","In progress"))))</f>
        <v/>
      </c>
    </row>
    <row r="120">
      <c r="A120" s="5">
        <f>IF(Requirements!A120="","",Requirements!A120)</f>
        <v/>
      </c>
      <c r="B120" s="5">
        <f>IF(A120="","",Requirements!B120)</f>
        <v/>
      </c>
      <c r="C120" s="5">
        <f>IF(A120="","",COUNTIF(TestCases!$B$2:$B$1001,A120))</f>
        <v/>
      </c>
      <c r="D120" s="5">
        <f>IF(A120="","",COUNTIFS(TestCases!$B$2:$B$1001,A120,TestCases!$K$2:$K$1001,"Approved"))</f>
        <v/>
      </c>
      <c r="E120" s="5">
        <f>IF(A120="","",COUNTIFS(TestCases!$B$2:$B$1001,A120,TestCases!$N$2:$N$1001,"Passed"))</f>
        <v/>
      </c>
      <c r="F120" s="5">
        <f>IF(A120="","",COUNTIFS(TestCases!$B$2:$B$1001,A120,TestCases!$N$2:$N$1001,"Failed")+COUNTIFS(TestCases!$B$2:$B$1001,A120,TestCases!$N$2:$N$1001,"Timed out"))</f>
        <v/>
      </c>
      <c r="G120" s="5">
        <f>IF(A120="","",C120-E120-F120-COUNTIFS(TestCases!$B$2:$B$1001,A120,TestCases!$N$2:$N$1001,"Flaky"))</f>
        <v/>
      </c>
      <c r="H120" s="5">
        <f>IF(A120="","",IF(C120=0,"No tests",IF(F120&gt;0,"Failing",IF(E120=C120,"Verified","In progress"))))</f>
        <v/>
      </c>
    </row>
    <row r="121">
      <c r="A121" s="5">
        <f>IF(Requirements!A121="","",Requirements!A121)</f>
        <v/>
      </c>
      <c r="B121" s="5">
        <f>IF(A121="","",Requirements!B121)</f>
        <v/>
      </c>
      <c r="C121" s="5">
        <f>IF(A121="","",COUNTIF(TestCases!$B$2:$B$1001,A121))</f>
        <v/>
      </c>
      <c r="D121" s="5">
        <f>IF(A121="","",COUNTIFS(TestCases!$B$2:$B$1001,A121,TestCases!$K$2:$K$1001,"Approved"))</f>
        <v/>
      </c>
      <c r="E121" s="5">
        <f>IF(A121="","",COUNTIFS(TestCases!$B$2:$B$1001,A121,TestCases!$N$2:$N$1001,"Passed"))</f>
        <v/>
      </c>
      <c r="F121" s="5">
        <f>IF(A121="","",COUNTIFS(TestCases!$B$2:$B$1001,A121,TestCases!$N$2:$N$1001,"Failed")+COUNTIFS(TestCases!$B$2:$B$1001,A121,TestCases!$N$2:$N$1001,"Timed out"))</f>
        <v/>
      </c>
      <c r="G121" s="5">
        <f>IF(A121="","",C121-E121-F121-COUNTIFS(TestCases!$B$2:$B$1001,A121,TestCases!$N$2:$N$1001,"Flaky"))</f>
        <v/>
      </c>
      <c r="H121" s="5">
        <f>IF(A121="","",IF(C121=0,"No tests",IF(F121&gt;0,"Failing",IF(E121=C121,"Verified","In progress"))))</f>
        <v/>
      </c>
    </row>
    <row r="122">
      <c r="A122" s="5">
        <f>IF(Requirements!A122="","",Requirements!A122)</f>
        <v/>
      </c>
      <c r="B122" s="5">
        <f>IF(A122="","",Requirements!B122)</f>
        <v/>
      </c>
      <c r="C122" s="5">
        <f>IF(A122="","",COUNTIF(TestCases!$B$2:$B$1001,A122))</f>
        <v/>
      </c>
      <c r="D122" s="5">
        <f>IF(A122="","",COUNTIFS(TestCases!$B$2:$B$1001,A122,TestCases!$K$2:$K$1001,"Approved"))</f>
        <v/>
      </c>
      <c r="E122" s="5">
        <f>IF(A122="","",COUNTIFS(TestCases!$B$2:$B$1001,A122,TestCases!$N$2:$N$1001,"Passed"))</f>
        <v/>
      </c>
      <c r="F122" s="5">
        <f>IF(A122="","",COUNTIFS(TestCases!$B$2:$B$1001,A122,TestCases!$N$2:$N$1001,"Failed")+COUNTIFS(TestCases!$B$2:$B$1001,A122,TestCases!$N$2:$N$1001,"Timed out"))</f>
        <v/>
      </c>
      <c r="G122" s="5">
        <f>IF(A122="","",C122-E122-F122-COUNTIFS(TestCases!$B$2:$B$1001,A122,TestCases!$N$2:$N$1001,"Flaky"))</f>
        <v/>
      </c>
      <c r="H122" s="5">
        <f>IF(A122="","",IF(C122=0,"No tests",IF(F122&gt;0,"Failing",IF(E122=C122,"Verified","In progress"))))</f>
        <v/>
      </c>
    </row>
    <row r="123">
      <c r="A123" s="5">
        <f>IF(Requirements!A123="","",Requirements!A123)</f>
        <v/>
      </c>
      <c r="B123" s="5">
        <f>IF(A123="","",Requirements!B123)</f>
        <v/>
      </c>
      <c r="C123" s="5">
        <f>IF(A123="","",COUNTIF(TestCases!$B$2:$B$1001,A123))</f>
        <v/>
      </c>
      <c r="D123" s="5">
        <f>IF(A123="","",COUNTIFS(TestCases!$B$2:$B$1001,A123,TestCases!$K$2:$K$1001,"Approved"))</f>
        <v/>
      </c>
      <c r="E123" s="5">
        <f>IF(A123="","",COUNTIFS(TestCases!$B$2:$B$1001,A123,TestCases!$N$2:$N$1001,"Passed"))</f>
        <v/>
      </c>
      <c r="F123" s="5">
        <f>IF(A123="","",COUNTIFS(TestCases!$B$2:$B$1001,A123,TestCases!$N$2:$N$1001,"Failed")+COUNTIFS(TestCases!$B$2:$B$1001,A123,TestCases!$N$2:$N$1001,"Timed out"))</f>
        <v/>
      </c>
      <c r="G123" s="5">
        <f>IF(A123="","",C123-E123-F123-COUNTIFS(TestCases!$B$2:$B$1001,A123,TestCases!$N$2:$N$1001,"Flaky"))</f>
        <v/>
      </c>
      <c r="H123" s="5">
        <f>IF(A123="","",IF(C123=0,"No tests",IF(F123&gt;0,"Failing",IF(E123=C123,"Verified","In progress"))))</f>
        <v/>
      </c>
    </row>
    <row r="124">
      <c r="A124" s="5">
        <f>IF(Requirements!A124="","",Requirements!A124)</f>
        <v/>
      </c>
      <c r="B124" s="5">
        <f>IF(A124="","",Requirements!B124)</f>
        <v/>
      </c>
      <c r="C124" s="5">
        <f>IF(A124="","",COUNTIF(TestCases!$B$2:$B$1001,A124))</f>
        <v/>
      </c>
      <c r="D124" s="5">
        <f>IF(A124="","",COUNTIFS(TestCases!$B$2:$B$1001,A124,TestCases!$K$2:$K$1001,"Approved"))</f>
        <v/>
      </c>
      <c r="E124" s="5">
        <f>IF(A124="","",COUNTIFS(TestCases!$B$2:$B$1001,A124,TestCases!$N$2:$N$1001,"Passed"))</f>
        <v/>
      </c>
      <c r="F124" s="5">
        <f>IF(A124="","",COUNTIFS(TestCases!$B$2:$B$1001,A124,TestCases!$N$2:$N$1001,"Failed")+COUNTIFS(TestCases!$B$2:$B$1001,A124,TestCases!$N$2:$N$1001,"Timed out"))</f>
        <v/>
      </c>
      <c r="G124" s="5">
        <f>IF(A124="","",C124-E124-F124-COUNTIFS(TestCases!$B$2:$B$1001,A124,TestCases!$N$2:$N$1001,"Flaky"))</f>
        <v/>
      </c>
      <c r="H124" s="5">
        <f>IF(A124="","",IF(C124=0,"No tests",IF(F124&gt;0,"Failing",IF(E124=C124,"Verified","In progress"))))</f>
        <v/>
      </c>
    </row>
    <row r="125">
      <c r="A125" s="5">
        <f>IF(Requirements!A125="","",Requirements!A125)</f>
        <v/>
      </c>
      <c r="B125" s="5">
        <f>IF(A125="","",Requirements!B125)</f>
        <v/>
      </c>
      <c r="C125" s="5">
        <f>IF(A125="","",COUNTIF(TestCases!$B$2:$B$1001,A125))</f>
        <v/>
      </c>
      <c r="D125" s="5">
        <f>IF(A125="","",COUNTIFS(TestCases!$B$2:$B$1001,A125,TestCases!$K$2:$K$1001,"Approved"))</f>
        <v/>
      </c>
      <c r="E125" s="5">
        <f>IF(A125="","",COUNTIFS(TestCases!$B$2:$B$1001,A125,TestCases!$N$2:$N$1001,"Passed"))</f>
        <v/>
      </c>
      <c r="F125" s="5">
        <f>IF(A125="","",COUNTIFS(TestCases!$B$2:$B$1001,A125,TestCases!$N$2:$N$1001,"Failed")+COUNTIFS(TestCases!$B$2:$B$1001,A125,TestCases!$N$2:$N$1001,"Timed out"))</f>
        <v/>
      </c>
      <c r="G125" s="5">
        <f>IF(A125="","",C125-E125-F125-COUNTIFS(TestCases!$B$2:$B$1001,A125,TestCases!$N$2:$N$1001,"Flaky"))</f>
        <v/>
      </c>
      <c r="H125" s="5">
        <f>IF(A125="","",IF(C125=0,"No tests",IF(F125&gt;0,"Failing",IF(E125=C125,"Verified","In progress"))))</f>
        <v/>
      </c>
    </row>
    <row r="126">
      <c r="A126" s="5">
        <f>IF(Requirements!A126="","",Requirements!A126)</f>
        <v/>
      </c>
      <c r="B126" s="5">
        <f>IF(A126="","",Requirements!B126)</f>
        <v/>
      </c>
      <c r="C126" s="5">
        <f>IF(A126="","",COUNTIF(TestCases!$B$2:$B$1001,A126))</f>
        <v/>
      </c>
      <c r="D126" s="5">
        <f>IF(A126="","",COUNTIFS(TestCases!$B$2:$B$1001,A126,TestCases!$K$2:$K$1001,"Approved"))</f>
        <v/>
      </c>
      <c r="E126" s="5">
        <f>IF(A126="","",COUNTIFS(TestCases!$B$2:$B$1001,A126,TestCases!$N$2:$N$1001,"Passed"))</f>
        <v/>
      </c>
      <c r="F126" s="5">
        <f>IF(A126="","",COUNTIFS(TestCases!$B$2:$B$1001,A126,TestCases!$N$2:$N$1001,"Failed")+COUNTIFS(TestCases!$B$2:$B$1001,A126,TestCases!$N$2:$N$1001,"Timed out"))</f>
        <v/>
      </c>
      <c r="G126" s="5">
        <f>IF(A126="","",C126-E126-F126-COUNTIFS(TestCases!$B$2:$B$1001,A126,TestCases!$N$2:$N$1001,"Flaky"))</f>
        <v/>
      </c>
      <c r="H126" s="5">
        <f>IF(A126="","",IF(C126=0,"No tests",IF(F126&gt;0,"Failing",IF(E126=C126,"Verified","In progress"))))</f>
        <v/>
      </c>
    </row>
    <row r="127">
      <c r="A127" s="5">
        <f>IF(Requirements!A127="","",Requirements!A127)</f>
        <v/>
      </c>
      <c r="B127" s="5">
        <f>IF(A127="","",Requirements!B127)</f>
        <v/>
      </c>
      <c r="C127" s="5">
        <f>IF(A127="","",COUNTIF(TestCases!$B$2:$B$1001,A127))</f>
        <v/>
      </c>
      <c r="D127" s="5">
        <f>IF(A127="","",COUNTIFS(TestCases!$B$2:$B$1001,A127,TestCases!$K$2:$K$1001,"Approved"))</f>
        <v/>
      </c>
      <c r="E127" s="5">
        <f>IF(A127="","",COUNTIFS(TestCases!$B$2:$B$1001,A127,TestCases!$N$2:$N$1001,"Passed"))</f>
        <v/>
      </c>
      <c r="F127" s="5">
        <f>IF(A127="","",COUNTIFS(TestCases!$B$2:$B$1001,A127,TestCases!$N$2:$N$1001,"Failed")+COUNTIFS(TestCases!$B$2:$B$1001,A127,TestCases!$N$2:$N$1001,"Timed out"))</f>
        <v/>
      </c>
      <c r="G127" s="5">
        <f>IF(A127="","",C127-E127-F127-COUNTIFS(TestCases!$B$2:$B$1001,A127,TestCases!$N$2:$N$1001,"Flaky"))</f>
        <v/>
      </c>
      <c r="H127" s="5">
        <f>IF(A127="","",IF(C127=0,"No tests",IF(F127&gt;0,"Failing",IF(E127=C127,"Verified","In progress"))))</f>
        <v/>
      </c>
    </row>
    <row r="128">
      <c r="A128" s="5">
        <f>IF(Requirements!A128="","",Requirements!A128)</f>
        <v/>
      </c>
      <c r="B128" s="5">
        <f>IF(A128="","",Requirements!B128)</f>
        <v/>
      </c>
      <c r="C128" s="5">
        <f>IF(A128="","",COUNTIF(TestCases!$B$2:$B$1001,A128))</f>
        <v/>
      </c>
      <c r="D128" s="5">
        <f>IF(A128="","",COUNTIFS(TestCases!$B$2:$B$1001,A128,TestCases!$K$2:$K$1001,"Approved"))</f>
        <v/>
      </c>
      <c r="E128" s="5">
        <f>IF(A128="","",COUNTIFS(TestCases!$B$2:$B$1001,A128,TestCases!$N$2:$N$1001,"Passed"))</f>
        <v/>
      </c>
      <c r="F128" s="5">
        <f>IF(A128="","",COUNTIFS(TestCases!$B$2:$B$1001,A128,TestCases!$N$2:$N$1001,"Failed")+COUNTIFS(TestCases!$B$2:$B$1001,A128,TestCases!$N$2:$N$1001,"Timed out"))</f>
        <v/>
      </c>
      <c r="G128" s="5">
        <f>IF(A128="","",C128-E128-F128-COUNTIFS(TestCases!$B$2:$B$1001,A128,TestCases!$N$2:$N$1001,"Flaky"))</f>
        <v/>
      </c>
      <c r="H128" s="5">
        <f>IF(A128="","",IF(C128=0,"No tests",IF(F128&gt;0,"Failing",IF(E128=C128,"Verified","In progress"))))</f>
        <v/>
      </c>
    </row>
    <row r="129">
      <c r="A129" s="5">
        <f>IF(Requirements!A129="","",Requirements!A129)</f>
        <v/>
      </c>
      <c r="B129" s="5">
        <f>IF(A129="","",Requirements!B129)</f>
        <v/>
      </c>
      <c r="C129" s="5">
        <f>IF(A129="","",COUNTIF(TestCases!$B$2:$B$1001,A129))</f>
        <v/>
      </c>
      <c r="D129" s="5">
        <f>IF(A129="","",COUNTIFS(TestCases!$B$2:$B$1001,A129,TestCases!$K$2:$K$1001,"Approved"))</f>
        <v/>
      </c>
      <c r="E129" s="5">
        <f>IF(A129="","",COUNTIFS(TestCases!$B$2:$B$1001,A129,TestCases!$N$2:$N$1001,"Passed"))</f>
        <v/>
      </c>
      <c r="F129" s="5">
        <f>IF(A129="","",COUNTIFS(TestCases!$B$2:$B$1001,A129,TestCases!$N$2:$N$1001,"Failed")+COUNTIFS(TestCases!$B$2:$B$1001,A129,TestCases!$N$2:$N$1001,"Timed out"))</f>
        <v/>
      </c>
      <c r="G129" s="5">
        <f>IF(A129="","",C129-E129-F129-COUNTIFS(TestCases!$B$2:$B$1001,A129,TestCases!$N$2:$N$1001,"Flaky"))</f>
        <v/>
      </c>
      <c r="H129" s="5">
        <f>IF(A129="","",IF(C129=0,"No tests",IF(F129&gt;0,"Failing",IF(E129=C129,"Verified","In progress"))))</f>
        <v/>
      </c>
    </row>
    <row r="130">
      <c r="A130" s="5">
        <f>IF(Requirements!A130="","",Requirements!A130)</f>
        <v/>
      </c>
      <c r="B130" s="5">
        <f>IF(A130="","",Requirements!B130)</f>
        <v/>
      </c>
      <c r="C130" s="5">
        <f>IF(A130="","",COUNTIF(TestCases!$B$2:$B$1001,A130))</f>
        <v/>
      </c>
      <c r="D130" s="5">
        <f>IF(A130="","",COUNTIFS(TestCases!$B$2:$B$1001,A130,TestCases!$K$2:$K$1001,"Approved"))</f>
        <v/>
      </c>
      <c r="E130" s="5">
        <f>IF(A130="","",COUNTIFS(TestCases!$B$2:$B$1001,A130,TestCases!$N$2:$N$1001,"Passed"))</f>
        <v/>
      </c>
      <c r="F130" s="5">
        <f>IF(A130="","",COUNTIFS(TestCases!$B$2:$B$1001,A130,TestCases!$N$2:$N$1001,"Failed")+COUNTIFS(TestCases!$B$2:$B$1001,A130,TestCases!$N$2:$N$1001,"Timed out"))</f>
        <v/>
      </c>
      <c r="G130" s="5">
        <f>IF(A130="","",C130-E130-F130-COUNTIFS(TestCases!$B$2:$B$1001,A130,TestCases!$N$2:$N$1001,"Flaky"))</f>
        <v/>
      </c>
      <c r="H130" s="5">
        <f>IF(A130="","",IF(C130=0,"No tests",IF(F130&gt;0,"Failing",IF(E130=C130,"Verified","In progress"))))</f>
        <v/>
      </c>
    </row>
    <row r="131">
      <c r="A131" s="5">
        <f>IF(Requirements!A131="","",Requirements!A131)</f>
        <v/>
      </c>
      <c r="B131" s="5">
        <f>IF(A131="","",Requirements!B131)</f>
        <v/>
      </c>
      <c r="C131" s="5">
        <f>IF(A131="","",COUNTIF(TestCases!$B$2:$B$1001,A131))</f>
        <v/>
      </c>
      <c r="D131" s="5">
        <f>IF(A131="","",COUNTIFS(TestCases!$B$2:$B$1001,A131,TestCases!$K$2:$K$1001,"Approved"))</f>
        <v/>
      </c>
      <c r="E131" s="5">
        <f>IF(A131="","",COUNTIFS(TestCases!$B$2:$B$1001,A131,TestCases!$N$2:$N$1001,"Passed"))</f>
        <v/>
      </c>
      <c r="F131" s="5">
        <f>IF(A131="","",COUNTIFS(TestCases!$B$2:$B$1001,A131,TestCases!$N$2:$N$1001,"Failed")+COUNTIFS(TestCases!$B$2:$B$1001,A131,TestCases!$N$2:$N$1001,"Timed out"))</f>
        <v/>
      </c>
      <c r="G131" s="5">
        <f>IF(A131="","",C131-E131-F131-COUNTIFS(TestCases!$B$2:$B$1001,A131,TestCases!$N$2:$N$1001,"Flaky"))</f>
        <v/>
      </c>
      <c r="H131" s="5">
        <f>IF(A131="","",IF(C131=0,"No tests",IF(F131&gt;0,"Failing",IF(E131=C131,"Verified","In progress"))))</f>
        <v/>
      </c>
    </row>
    <row r="132">
      <c r="A132" s="5">
        <f>IF(Requirements!A132="","",Requirements!A132)</f>
        <v/>
      </c>
      <c r="B132" s="5">
        <f>IF(A132="","",Requirements!B132)</f>
        <v/>
      </c>
      <c r="C132" s="5">
        <f>IF(A132="","",COUNTIF(TestCases!$B$2:$B$1001,A132))</f>
        <v/>
      </c>
      <c r="D132" s="5">
        <f>IF(A132="","",COUNTIFS(TestCases!$B$2:$B$1001,A132,TestCases!$K$2:$K$1001,"Approved"))</f>
        <v/>
      </c>
      <c r="E132" s="5">
        <f>IF(A132="","",COUNTIFS(TestCases!$B$2:$B$1001,A132,TestCases!$N$2:$N$1001,"Passed"))</f>
        <v/>
      </c>
      <c r="F132" s="5">
        <f>IF(A132="","",COUNTIFS(TestCases!$B$2:$B$1001,A132,TestCases!$N$2:$N$1001,"Failed")+COUNTIFS(TestCases!$B$2:$B$1001,A132,TestCases!$N$2:$N$1001,"Timed out"))</f>
        <v/>
      </c>
      <c r="G132" s="5">
        <f>IF(A132="","",C132-E132-F132-COUNTIFS(TestCases!$B$2:$B$1001,A132,TestCases!$N$2:$N$1001,"Flaky"))</f>
        <v/>
      </c>
      <c r="H132" s="5">
        <f>IF(A132="","",IF(C132=0,"No tests",IF(F132&gt;0,"Failing",IF(E132=C132,"Verified","In progress"))))</f>
        <v/>
      </c>
    </row>
    <row r="133">
      <c r="A133" s="5">
        <f>IF(Requirements!A133="","",Requirements!A133)</f>
        <v/>
      </c>
      <c r="B133" s="5">
        <f>IF(A133="","",Requirements!B133)</f>
        <v/>
      </c>
      <c r="C133" s="5">
        <f>IF(A133="","",COUNTIF(TestCases!$B$2:$B$1001,A133))</f>
        <v/>
      </c>
      <c r="D133" s="5">
        <f>IF(A133="","",COUNTIFS(TestCases!$B$2:$B$1001,A133,TestCases!$K$2:$K$1001,"Approved"))</f>
        <v/>
      </c>
      <c r="E133" s="5">
        <f>IF(A133="","",COUNTIFS(TestCases!$B$2:$B$1001,A133,TestCases!$N$2:$N$1001,"Passed"))</f>
        <v/>
      </c>
      <c r="F133" s="5">
        <f>IF(A133="","",COUNTIFS(TestCases!$B$2:$B$1001,A133,TestCases!$N$2:$N$1001,"Failed")+COUNTIFS(TestCases!$B$2:$B$1001,A133,TestCases!$N$2:$N$1001,"Timed out"))</f>
        <v/>
      </c>
      <c r="G133" s="5">
        <f>IF(A133="","",C133-E133-F133-COUNTIFS(TestCases!$B$2:$B$1001,A133,TestCases!$N$2:$N$1001,"Flaky"))</f>
        <v/>
      </c>
      <c r="H133" s="5">
        <f>IF(A133="","",IF(C133=0,"No tests",IF(F133&gt;0,"Failing",IF(E133=C133,"Verified","In progress"))))</f>
        <v/>
      </c>
    </row>
    <row r="134">
      <c r="A134" s="5">
        <f>IF(Requirements!A134="","",Requirements!A134)</f>
        <v/>
      </c>
      <c r="B134" s="5">
        <f>IF(A134="","",Requirements!B134)</f>
        <v/>
      </c>
      <c r="C134" s="5">
        <f>IF(A134="","",COUNTIF(TestCases!$B$2:$B$1001,A134))</f>
        <v/>
      </c>
      <c r="D134" s="5">
        <f>IF(A134="","",COUNTIFS(TestCases!$B$2:$B$1001,A134,TestCases!$K$2:$K$1001,"Approved"))</f>
        <v/>
      </c>
      <c r="E134" s="5">
        <f>IF(A134="","",COUNTIFS(TestCases!$B$2:$B$1001,A134,TestCases!$N$2:$N$1001,"Passed"))</f>
        <v/>
      </c>
      <c r="F134" s="5">
        <f>IF(A134="","",COUNTIFS(TestCases!$B$2:$B$1001,A134,TestCases!$N$2:$N$1001,"Failed")+COUNTIFS(TestCases!$B$2:$B$1001,A134,TestCases!$N$2:$N$1001,"Timed out"))</f>
        <v/>
      </c>
      <c r="G134" s="5">
        <f>IF(A134="","",C134-E134-F134-COUNTIFS(TestCases!$B$2:$B$1001,A134,TestCases!$N$2:$N$1001,"Flaky"))</f>
        <v/>
      </c>
      <c r="H134" s="5">
        <f>IF(A134="","",IF(C134=0,"No tests",IF(F134&gt;0,"Failing",IF(E134=C134,"Verified","In progress"))))</f>
        <v/>
      </c>
    </row>
    <row r="135">
      <c r="A135" s="5">
        <f>IF(Requirements!A135="","",Requirements!A135)</f>
        <v/>
      </c>
      <c r="B135" s="5">
        <f>IF(A135="","",Requirements!B135)</f>
        <v/>
      </c>
      <c r="C135" s="5">
        <f>IF(A135="","",COUNTIF(TestCases!$B$2:$B$1001,A135))</f>
        <v/>
      </c>
      <c r="D135" s="5">
        <f>IF(A135="","",COUNTIFS(TestCases!$B$2:$B$1001,A135,TestCases!$K$2:$K$1001,"Approved"))</f>
        <v/>
      </c>
      <c r="E135" s="5">
        <f>IF(A135="","",COUNTIFS(TestCases!$B$2:$B$1001,A135,TestCases!$N$2:$N$1001,"Passed"))</f>
        <v/>
      </c>
      <c r="F135" s="5">
        <f>IF(A135="","",COUNTIFS(TestCases!$B$2:$B$1001,A135,TestCases!$N$2:$N$1001,"Failed")+COUNTIFS(TestCases!$B$2:$B$1001,A135,TestCases!$N$2:$N$1001,"Timed out"))</f>
        <v/>
      </c>
      <c r="G135" s="5">
        <f>IF(A135="","",C135-E135-F135-COUNTIFS(TestCases!$B$2:$B$1001,A135,TestCases!$N$2:$N$1001,"Flaky"))</f>
        <v/>
      </c>
      <c r="H135" s="5">
        <f>IF(A135="","",IF(C135=0,"No tests",IF(F135&gt;0,"Failing",IF(E135=C135,"Verified","In progress"))))</f>
        <v/>
      </c>
    </row>
    <row r="136">
      <c r="A136" s="5">
        <f>IF(Requirements!A136="","",Requirements!A136)</f>
        <v/>
      </c>
      <c r="B136" s="5">
        <f>IF(A136="","",Requirements!B136)</f>
        <v/>
      </c>
      <c r="C136" s="5">
        <f>IF(A136="","",COUNTIF(TestCases!$B$2:$B$1001,A136))</f>
        <v/>
      </c>
      <c r="D136" s="5">
        <f>IF(A136="","",COUNTIFS(TestCases!$B$2:$B$1001,A136,TestCases!$K$2:$K$1001,"Approved"))</f>
        <v/>
      </c>
      <c r="E136" s="5">
        <f>IF(A136="","",COUNTIFS(TestCases!$B$2:$B$1001,A136,TestCases!$N$2:$N$1001,"Passed"))</f>
        <v/>
      </c>
      <c r="F136" s="5">
        <f>IF(A136="","",COUNTIFS(TestCases!$B$2:$B$1001,A136,TestCases!$N$2:$N$1001,"Failed")+COUNTIFS(TestCases!$B$2:$B$1001,A136,TestCases!$N$2:$N$1001,"Timed out"))</f>
        <v/>
      </c>
      <c r="G136" s="5">
        <f>IF(A136="","",C136-E136-F136-COUNTIFS(TestCases!$B$2:$B$1001,A136,TestCases!$N$2:$N$1001,"Flaky"))</f>
        <v/>
      </c>
      <c r="H136" s="5">
        <f>IF(A136="","",IF(C136=0,"No tests",IF(F136&gt;0,"Failing",IF(E136=C136,"Verified","In progress"))))</f>
        <v/>
      </c>
    </row>
    <row r="137">
      <c r="A137" s="5">
        <f>IF(Requirements!A137="","",Requirements!A137)</f>
        <v/>
      </c>
      <c r="B137" s="5">
        <f>IF(A137="","",Requirements!B137)</f>
        <v/>
      </c>
      <c r="C137" s="5">
        <f>IF(A137="","",COUNTIF(TestCases!$B$2:$B$1001,A137))</f>
        <v/>
      </c>
      <c r="D137" s="5">
        <f>IF(A137="","",COUNTIFS(TestCases!$B$2:$B$1001,A137,TestCases!$K$2:$K$1001,"Approved"))</f>
        <v/>
      </c>
      <c r="E137" s="5">
        <f>IF(A137="","",COUNTIFS(TestCases!$B$2:$B$1001,A137,TestCases!$N$2:$N$1001,"Passed"))</f>
        <v/>
      </c>
      <c r="F137" s="5">
        <f>IF(A137="","",COUNTIFS(TestCases!$B$2:$B$1001,A137,TestCases!$N$2:$N$1001,"Failed")+COUNTIFS(TestCases!$B$2:$B$1001,A137,TestCases!$N$2:$N$1001,"Timed out"))</f>
        <v/>
      </c>
      <c r="G137" s="5">
        <f>IF(A137="","",C137-E137-F137-COUNTIFS(TestCases!$B$2:$B$1001,A137,TestCases!$N$2:$N$1001,"Flaky"))</f>
        <v/>
      </c>
      <c r="H137" s="5">
        <f>IF(A137="","",IF(C137=0,"No tests",IF(F137&gt;0,"Failing",IF(E137=C137,"Verified","In progress"))))</f>
        <v/>
      </c>
    </row>
    <row r="138">
      <c r="A138" s="5">
        <f>IF(Requirements!A138="","",Requirements!A138)</f>
        <v/>
      </c>
      <c r="B138" s="5">
        <f>IF(A138="","",Requirements!B138)</f>
        <v/>
      </c>
      <c r="C138" s="5">
        <f>IF(A138="","",COUNTIF(TestCases!$B$2:$B$1001,A138))</f>
        <v/>
      </c>
      <c r="D138" s="5">
        <f>IF(A138="","",COUNTIFS(TestCases!$B$2:$B$1001,A138,TestCases!$K$2:$K$1001,"Approved"))</f>
        <v/>
      </c>
      <c r="E138" s="5">
        <f>IF(A138="","",COUNTIFS(TestCases!$B$2:$B$1001,A138,TestCases!$N$2:$N$1001,"Passed"))</f>
        <v/>
      </c>
      <c r="F138" s="5">
        <f>IF(A138="","",COUNTIFS(TestCases!$B$2:$B$1001,A138,TestCases!$N$2:$N$1001,"Failed")+COUNTIFS(TestCases!$B$2:$B$1001,A138,TestCases!$N$2:$N$1001,"Timed out"))</f>
        <v/>
      </c>
      <c r="G138" s="5">
        <f>IF(A138="","",C138-E138-F138-COUNTIFS(TestCases!$B$2:$B$1001,A138,TestCases!$N$2:$N$1001,"Flaky"))</f>
        <v/>
      </c>
      <c r="H138" s="5">
        <f>IF(A138="","",IF(C138=0,"No tests",IF(F138&gt;0,"Failing",IF(E138=C138,"Verified","In progress"))))</f>
        <v/>
      </c>
    </row>
    <row r="139">
      <c r="A139" s="5">
        <f>IF(Requirements!A139="","",Requirements!A139)</f>
        <v/>
      </c>
      <c r="B139" s="5">
        <f>IF(A139="","",Requirements!B139)</f>
        <v/>
      </c>
      <c r="C139" s="5">
        <f>IF(A139="","",COUNTIF(TestCases!$B$2:$B$1001,A139))</f>
        <v/>
      </c>
      <c r="D139" s="5">
        <f>IF(A139="","",COUNTIFS(TestCases!$B$2:$B$1001,A139,TestCases!$K$2:$K$1001,"Approved"))</f>
        <v/>
      </c>
      <c r="E139" s="5">
        <f>IF(A139="","",COUNTIFS(TestCases!$B$2:$B$1001,A139,TestCases!$N$2:$N$1001,"Passed"))</f>
        <v/>
      </c>
      <c r="F139" s="5">
        <f>IF(A139="","",COUNTIFS(TestCases!$B$2:$B$1001,A139,TestCases!$N$2:$N$1001,"Failed")+COUNTIFS(TestCases!$B$2:$B$1001,A139,TestCases!$N$2:$N$1001,"Timed out"))</f>
        <v/>
      </c>
      <c r="G139" s="5">
        <f>IF(A139="","",C139-E139-F139-COUNTIFS(TestCases!$B$2:$B$1001,A139,TestCases!$N$2:$N$1001,"Flaky"))</f>
        <v/>
      </c>
      <c r="H139" s="5">
        <f>IF(A139="","",IF(C139=0,"No tests",IF(F139&gt;0,"Failing",IF(E139=C139,"Verified","In progress"))))</f>
        <v/>
      </c>
    </row>
    <row r="140">
      <c r="A140" s="5">
        <f>IF(Requirements!A140="","",Requirements!A140)</f>
        <v/>
      </c>
      <c r="B140" s="5">
        <f>IF(A140="","",Requirements!B140)</f>
        <v/>
      </c>
      <c r="C140" s="5">
        <f>IF(A140="","",COUNTIF(TestCases!$B$2:$B$1001,A140))</f>
        <v/>
      </c>
      <c r="D140" s="5">
        <f>IF(A140="","",COUNTIFS(TestCases!$B$2:$B$1001,A140,TestCases!$K$2:$K$1001,"Approved"))</f>
        <v/>
      </c>
      <c r="E140" s="5">
        <f>IF(A140="","",COUNTIFS(TestCases!$B$2:$B$1001,A140,TestCases!$N$2:$N$1001,"Passed"))</f>
        <v/>
      </c>
      <c r="F140" s="5">
        <f>IF(A140="","",COUNTIFS(TestCases!$B$2:$B$1001,A140,TestCases!$N$2:$N$1001,"Failed")+COUNTIFS(TestCases!$B$2:$B$1001,A140,TestCases!$N$2:$N$1001,"Timed out"))</f>
        <v/>
      </c>
      <c r="G140" s="5">
        <f>IF(A140="","",C140-E140-F140-COUNTIFS(TestCases!$B$2:$B$1001,A140,TestCases!$N$2:$N$1001,"Flaky"))</f>
        <v/>
      </c>
      <c r="H140" s="5">
        <f>IF(A140="","",IF(C140=0,"No tests",IF(F140&gt;0,"Failing",IF(E140=C140,"Verified","In progress"))))</f>
        <v/>
      </c>
    </row>
    <row r="141">
      <c r="A141" s="5">
        <f>IF(Requirements!A141="","",Requirements!A141)</f>
        <v/>
      </c>
      <c r="B141" s="5">
        <f>IF(A141="","",Requirements!B141)</f>
        <v/>
      </c>
      <c r="C141" s="5">
        <f>IF(A141="","",COUNTIF(TestCases!$B$2:$B$1001,A141))</f>
        <v/>
      </c>
      <c r="D141" s="5">
        <f>IF(A141="","",COUNTIFS(TestCases!$B$2:$B$1001,A141,TestCases!$K$2:$K$1001,"Approved"))</f>
        <v/>
      </c>
      <c r="E141" s="5">
        <f>IF(A141="","",COUNTIFS(TestCases!$B$2:$B$1001,A141,TestCases!$N$2:$N$1001,"Passed"))</f>
        <v/>
      </c>
      <c r="F141" s="5">
        <f>IF(A141="","",COUNTIFS(TestCases!$B$2:$B$1001,A141,TestCases!$N$2:$N$1001,"Failed")+COUNTIFS(TestCases!$B$2:$B$1001,A141,TestCases!$N$2:$N$1001,"Timed out"))</f>
        <v/>
      </c>
      <c r="G141" s="5">
        <f>IF(A141="","",C141-E141-F141-COUNTIFS(TestCases!$B$2:$B$1001,A141,TestCases!$N$2:$N$1001,"Flaky"))</f>
        <v/>
      </c>
      <c r="H141" s="5">
        <f>IF(A141="","",IF(C141=0,"No tests",IF(F141&gt;0,"Failing",IF(E141=C141,"Verified","In progress"))))</f>
        <v/>
      </c>
    </row>
    <row r="142">
      <c r="A142" s="5">
        <f>IF(Requirements!A142="","",Requirements!A142)</f>
        <v/>
      </c>
      <c r="B142" s="5">
        <f>IF(A142="","",Requirements!B142)</f>
        <v/>
      </c>
      <c r="C142" s="5">
        <f>IF(A142="","",COUNTIF(TestCases!$B$2:$B$1001,A142))</f>
        <v/>
      </c>
      <c r="D142" s="5">
        <f>IF(A142="","",COUNTIFS(TestCases!$B$2:$B$1001,A142,TestCases!$K$2:$K$1001,"Approved"))</f>
        <v/>
      </c>
      <c r="E142" s="5">
        <f>IF(A142="","",COUNTIFS(TestCases!$B$2:$B$1001,A142,TestCases!$N$2:$N$1001,"Passed"))</f>
        <v/>
      </c>
      <c r="F142" s="5">
        <f>IF(A142="","",COUNTIFS(TestCases!$B$2:$B$1001,A142,TestCases!$N$2:$N$1001,"Failed")+COUNTIFS(TestCases!$B$2:$B$1001,A142,TestCases!$N$2:$N$1001,"Timed out"))</f>
        <v/>
      </c>
      <c r="G142" s="5">
        <f>IF(A142="","",C142-E142-F142-COUNTIFS(TestCases!$B$2:$B$1001,A142,TestCases!$N$2:$N$1001,"Flaky"))</f>
        <v/>
      </c>
      <c r="H142" s="5">
        <f>IF(A142="","",IF(C142=0,"No tests",IF(F142&gt;0,"Failing",IF(E142=C142,"Verified","In progress"))))</f>
        <v/>
      </c>
    </row>
    <row r="143">
      <c r="A143" s="5">
        <f>IF(Requirements!A143="","",Requirements!A143)</f>
        <v/>
      </c>
      <c r="B143" s="5">
        <f>IF(A143="","",Requirements!B143)</f>
        <v/>
      </c>
      <c r="C143" s="5">
        <f>IF(A143="","",COUNTIF(TestCases!$B$2:$B$1001,A143))</f>
        <v/>
      </c>
      <c r="D143" s="5">
        <f>IF(A143="","",COUNTIFS(TestCases!$B$2:$B$1001,A143,TestCases!$K$2:$K$1001,"Approved"))</f>
        <v/>
      </c>
      <c r="E143" s="5">
        <f>IF(A143="","",COUNTIFS(TestCases!$B$2:$B$1001,A143,TestCases!$N$2:$N$1001,"Passed"))</f>
        <v/>
      </c>
      <c r="F143" s="5">
        <f>IF(A143="","",COUNTIFS(TestCases!$B$2:$B$1001,A143,TestCases!$N$2:$N$1001,"Failed")+COUNTIFS(TestCases!$B$2:$B$1001,A143,TestCases!$N$2:$N$1001,"Timed out"))</f>
        <v/>
      </c>
      <c r="G143" s="5">
        <f>IF(A143="","",C143-E143-F143-COUNTIFS(TestCases!$B$2:$B$1001,A143,TestCases!$N$2:$N$1001,"Flaky"))</f>
        <v/>
      </c>
      <c r="H143" s="5">
        <f>IF(A143="","",IF(C143=0,"No tests",IF(F143&gt;0,"Failing",IF(E143=C143,"Verified","In progress"))))</f>
        <v/>
      </c>
    </row>
    <row r="144">
      <c r="A144" s="5">
        <f>IF(Requirements!A144="","",Requirements!A144)</f>
        <v/>
      </c>
      <c r="B144" s="5">
        <f>IF(A144="","",Requirements!B144)</f>
        <v/>
      </c>
      <c r="C144" s="5">
        <f>IF(A144="","",COUNTIF(TestCases!$B$2:$B$1001,A144))</f>
        <v/>
      </c>
      <c r="D144" s="5">
        <f>IF(A144="","",COUNTIFS(TestCases!$B$2:$B$1001,A144,TestCases!$K$2:$K$1001,"Approved"))</f>
        <v/>
      </c>
      <c r="E144" s="5">
        <f>IF(A144="","",COUNTIFS(TestCases!$B$2:$B$1001,A144,TestCases!$N$2:$N$1001,"Passed"))</f>
        <v/>
      </c>
      <c r="F144" s="5">
        <f>IF(A144="","",COUNTIFS(TestCases!$B$2:$B$1001,A144,TestCases!$N$2:$N$1001,"Failed")+COUNTIFS(TestCases!$B$2:$B$1001,A144,TestCases!$N$2:$N$1001,"Timed out"))</f>
        <v/>
      </c>
      <c r="G144" s="5">
        <f>IF(A144="","",C144-E144-F144-COUNTIFS(TestCases!$B$2:$B$1001,A144,TestCases!$N$2:$N$1001,"Flaky"))</f>
        <v/>
      </c>
      <c r="H144" s="5">
        <f>IF(A144="","",IF(C144=0,"No tests",IF(F144&gt;0,"Failing",IF(E144=C144,"Verified","In progress"))))</f>
        <v/>
      </c>
    </row>
    <row r="145">
      <c r="A145" s="5">
        <f>IF(Requirements!A145="","",Requirements!A145)</f>
        <v/>
      </c>
      <c r="B145" s="5">
        <f>IF(A145="","",Requirements!B145)</f>
        <v/>
      </c>
      <c r="C145" s="5">
        <f>IF(A145="","",COUNTIF(TestCases!$B$2:$B$1001,A145))</f>
        <v/>
      </c>
      <c r="D145" s="5">
        <f>IF(A145="","",COUNTIFS(TestCases!$B$2:$B$1001,A145,TestCases!$K$2:$K$1001,"Approved"))</f>
        <v/>
      </c>
      <c r="E145" s="5">
        <f>IF(A145="","",COUNTIFS(TestCases!$B$2:$B$1001,A145,TestCases!$N$2:$N$1001,"Passed"))</f>
        <v/>
      </c>
      <c r="F145" s="5">
        <f>IF(A145="","",COUNTIFS(TestCases!$B$2:$B$1001,A145,TestCases!$N$2:$N$1001,"Failed")+COUNTIFS(TestCases!$B$2:$B$1001,A145,TestCases!$N$2:$N$1001,"Timed out"))</f>
        <v/>
      </c>
      <c r="G145" s="5">
        <f>IF(A145="","",C145-E145-F145-COUNTIFS(TestCases!$B$2:$B$1001,A145,TestCases!$N$2:$N$1001,"Flaky"))</f>
        <v/>
      </c>
      <c r="H145" s="5">
        <f>IF(A145="","",IF(C145=0,"No tests",IF(F145&gt;0,"Failing",IF(E145=C145,"Verified","In progress"))))</f>
        <v/>
      </c>
    </row>
    <row r="146">
      <c r="A146" s="5">
        <f>IF(Requirements!A146="","",Requirements!A146)</f>
        <v/>
      </c>
      <c r="B146" s="5">
        <f>IF(A146="","",Requirements!B146)</f>
        <v/>
      </c>
      <c r="C146" s="5">
        <f>IF(A146="","",COUNTIF(TestCases!$B$2:$B$1001,A146))</f>
        <v/>
      </c>
      <c r="D146" s="5">
        <f>IF(A146="","",COUNTIFS(TestCases!$B$2:$B$1001,A146,TestCases!$K$2:$K$1001,"Approved"))</f>
        <v/>
      </c>
      <c r="E146" s="5">
        <f>IF(A146="","",COUNTIFS(TestCases!$B$2:$B$1001,A146,TestCases!$N$2:$N$1001,"Passed"))</f>
        <v/>
      </c>
      <c r="F146" s="5">
        <f>IF(A146="","",COUNTIFS(TestCases!$B$2:$B$1001,A146,TestCases!$N$2:$N$1001,"Failed")+COUNTIFS(TestCases!$B$2:$B$1001,A146,TestCases!$N$2:$N$1001,"Timed out"))</f>
        <v/>
      </c>
      <c r="G146" s="5">
        <f>IF(A146="","",C146-E146-F146-COUNTIFS(TestCases!$B$2:$B$1001,A146,TestCases!$N$2:$N$1001,"Flaky"))</f>
        <v/>
      </c>
      <c r="H146" s="5">
        <f>IF(A146="","",IF(C146=0,"No tests",IF(F146&gt;0,"Failing",IF(E146=C146,"Verified","In progress"))))</f>
        <v/>
      </c>
    </row>
    <row r="147">
      <c r="A147" s="5">
        <f>IF(Requirements!A147="","",Requirements!A147)</f>
        <v/>
      </c>
      <c r="B147" s="5">
        <f>IF(A147="","",Requirements!B147)</f>
        <v/>
      </c>
      <c r="C147" s="5">
        <f>IF(A147="","",COUNTIF(TestCases!$B$2:$B$1001,A147))</f>
        <v/>
      </c>
      <c r="D147" s="5">
        <f>IF(A147="","",COUNTIFS(TestCases!$B$2:$B$1001,A147,TestCases!$K$2:$K$1001,"Approved"))</f>
        <v/>
      </c>
      <c r="E147" s="5">
        <f>IF(A147="","",COUNTIFS(TestCases!$B$2:$B$1001,A147,TestCases!$N$2:$N$1001,"Passed"))</f>
        <v/>
      </c>
      <c r="F147" s="5">
        <f>IF(A147="","",COUNTIFS(TestCases!$B$2:$B$1001,A147,TestCases!$N$2:$N$1001,"Failed")+COUNTIFS(TestCases!$B$2:$B$1001,A147,TestCases!$N$2:$N$1001,"Timed out"))</f>
        <v/>
      </c>
      <c r="G147" s="5">
        <f>IF(A147="","",C147-E147-F147-COUNTIFS(TestCases!$B$2:$B$1001,A147,TestCases!$N$2:$N$1001,"Flaky"))</f>
        <v/>
      </c>
      <c r="H147" s="5">
        <f>IF(A147="","",IF(C147=0,"No tests",IF(F147&gt;0,"Failing",IF(E147=C147,"Verified","In progress"))))</f>
        <v/>
      </c>
    </row>
    <row r="148">
      <c r="A148" s="5">
        <f>IF(Requirements!A148="","",Requirements!A148)</f>
        <v/>
      </c>
      <c r="B148" s="5">
        <f>IF(A148="","",Requirements!B148)</f>
        <v/>
      </c>
      <c r="C148" s="5">
        <f>IF(A148="","",COUNTIF(TestCases!$B$2:$B$1001,A148))</f>
        <v/>
      </c>
      <c r="D148" s="5">
        <f>IF(A148="","",COUNTIFS(TestCases!$B$2:$B$1001,A148,TestCases!$K$2:$K$1001,"Approved"))</f>
        <v/>
      </c>
      <c r="E148" s="5">
        <f>IF(A148="","",COUNTIFS(TestCases!$B$2:$B$1001,A148,TestCases!$N$2:$N$1001,"Passed"))</f>
        <v/>
      </c>
      <c r="F148" s="5">
        <f>IF(A148="","",COUNTIFS(TestCases!$B$2:$B$1001,A148,TestCases!$N$2:$N$1001,"Failed")+COUNTIFS(TestCases!$B$2:$B$1001,A148,TestCases!$N$2:$N$1001,"Timed out"))</f>
        <v/>
      </c>
      <c r="G148" s="5">
        <f>IF(A148="","",C148-E148-F148-COUNTIFS(TestCases!$B$2:$B$1001,A148,TestCases!$N$2:$N$1001,"Flaky"))</f>
        <v/>
      </c>
      <c r="H148" s="5">
        <f>IF(A148="","",IF(C148=0,"No tests",IF(F148&gt;0,"Failing",IF(E148=C148,"Verified","In progress"))))</f>
        <v/>
      </c>
    </row>
    <row r="149">
      <c r="A149" s="5">
        <f>IF(Requirements!A149="","",Requirements!A149)</f>
        <v/>
      </c>
      <c r="B149" s="5">
        <f>IF(A149="","",Requirements!B149)</f>
        <v/>
      </c>
      <c r="C149" s="5">
        <f>IF(A149="","",COUNTIF(TestCases!$B$2:$B$1001,A149))</f>
        <v/>
      </c>
      <c r="D149" s="5">
        <f>IF(A149="","",COUNTIFS(TestCases!$B$2:$B$1001,A149,TestCases!$K$2:$K$1001,"Approved"))</f>
        <v/>
      </c>
      <c r="E149" s="5">
        <f>IF(A149="","",COUNTIFS(TestCases!$B$2:$B$1001,A149,TestCases!$N$2:$N$1001,"Passed"))</f>
        <v/>
      </c>
      <c r="F149" s="5">
        <f>IF(A149="","",COUNTIFS(TestCases!$B$2:$B$1001,A149,TestCases!$N$2:$N$1001,"Failed")+COUNTIFS(TestCases!$B$2:$B$1001,A149,TestCases!$N$2:$N$1001,"Timed out"))</f>
        <v/>
      </c>
      <c r="G149" s="5">
        <f>IF(A149="","",C149-E149-F149-COUNTIFS(TestCases!$B$2:$B$1001,A149,TestCases!$N$2:$N$1001,"Flaky"))</f>
        <v/>
      </c>
      <c r="H149" s="5">
        <f>IF(A149="","",IF(C149=0,"No tests",IF(F149&gt;0,"Failing",IF(E149=C149,"Verified","In progress"))))</f>
        <v/>
      </c>
    </row>
    <row r="150">
      <c r="A150" s="5">
        <f>IF(Requirements!A150="","",Requirements!A150)</f>
        <v/>
      </c>
      <c r="B150" s="5">
        <f>IF(A150="","",Requirements!B150)</f>
        <v/>
      </c>
      <c r="C150" s="5">
        <f>IF(A150="","",COUNTIF(TestCases!$B$2:$B$1001,A150))</f>
        <v/>
      </c>
      <c r="D150" s="5">
        <f>IF(A150="","",COUNTIFS(TestCases!$B$2:$B$1001,A150,TestCases!$K$2:$K$1001,"Approved"))</f>
        <v/>
      </c>
      <c r="E150" s="5">
        <f>IF(A150="","",COUNTIFS(TestCases!$B$2:$B$1001,A150,TestCases!$N$2:$N$1001,"Passed"))</f>
        <v/>
      </c>
      <c r="F150" s="5">
        <f>IF(A150="","",COUNTIFS(TestCases!$B$2:$B$1001,A150,TestCases!$N$2:$N$1001,"Failed")+COUNTIFS(TestCases!$B$2:$B$1001,A150,TestCases!$N$2:$N$1001,"Timed out"))</f>
        <v/>
      </c>
      <c r="G150" s="5">
        <f>IF(A150="","",C150-E150-F150-COUNTIFS(TestCases!$B$2:$B$1001,A150,TestCases!$N$2:$N$1001,"Flaky"))</f>
        <v/>
      </c>
      <c r="H150" s="5">
        <f>IF(A150="","",IF(C150=0,"No tests",IF(F150&gt;0,"Failing",IF(E150=C150,"Verified","In progress"))))</f>
        <v/>
      </c>
    </row>
    <row r="151">
      <c r="A151" s="5">
        <f>IF(Requirements!A151="","",Requirements!A151)</f>
        <v/>
      </c>
      <c r="B151" s="5">
        <f>IF(A151="","",Requirements!B151)</f>
        <v/>
      </c>
      <c r="C151" s="5">
        <f>IF(A151="","",COUNTIF(TestCases!$B$2:$B$1001,A151))</f>
        <v/>
      </c>
      <c r="D151" s="5">
        <f>IF(A151="","",COUNTIFS(TestCases!$B$2:$B$1001,A151,TestCases!$K$2:$K$1001,"Approved"))</f>
        <v/>
      </c>
      <c r="E151" s="5">
        <f>IF(A151="","",COUNTIFS(TestCases!$B$2:$B$1001,A151,TestCases!$N$2:$N$1001,"Passed"))</f>
        <v/>
      </c>
      <c r="F151" s="5">
        <f>IF(A151="","",COUNTIFS(TestCases!$B$2:$B$1001,A151,TestCases!$N$2:$N$1001,"Failed")+COUNTIFS(TestCases!$B$2:$B$1001,A151,TestCases!$N$2:$N$1001,"Timed out"))</f>
        <v/>
      </c>
      <c r="G151" s="5">
        <f>IF(A151="","",C151-E151-F151-COUNTIFS(TestCases!$B$2:$B$1001,A151,TestCases!$N$2:$N$1001,"Flaky"))</f>
        <v/>
      </c>
      <c r="H151" s="5">
        <f>IF(A151="","",IF(C151=0,"No tests",IF(F151&gt;0,"Failing",IF(E151=C151,"Verified","In progress"))))</f>
        <v/>
      </c>
    </row>
    <row r="152">
      <c r="A152" s="5">
        <f>IF(Requirements!A152="","",Requirements!A152)</f>
        <v/>
      </c>
      <c r="B152" s="5">
        <f>IF(A152="","",Requirements!B152)</f>
        <v/>
      </c>
      <c r="C152" s="5">
        <f>IF(A152="","",COUNTIF(TestCases!$B$2:$B$1001,A152))</f>
        <v/>
      </c>
      <c r="D152" s="5">
        <f>IF(A152="","",COUNTIFS(TestCases!$B$2:$B$1001,A152,TestCases!$K$2:$K$1001,"Approved"))</f>
        <v/>
      </c>
      <c r="E152" s="5">
        <f>IF(A152="","",COUNTIFS(TestCases!$B$2:$B$1001,A152,TestCases!$N$2:$N$1001,"Passed"))</f>
        <v/>
      </c>
      <c r="F152" s="5">
        <f>IF(A152="","",COUNTIFS(TestCases!$B$2:$B$1001,A152,TestCases!$N$2:$N$1001,"Failed")+COUNTIFS(TestCases!$B$2:$B$1001,A152,TestCases!$N$2:$N$1001,"Timed out"))</f>
        <v/>
      </c>
      <c r="G152" s="5">
        <f>IF(A152="","",C152-E152-F152-COUNTIFS(TestCases!$B$2:$B$1001,A152,TestCases!$N$2:$N$1001,"Flaky"))</f>
        <v/>
      </c>
      <c r="H152" s="5">
        <f>IF(A152="","",IF(C152=0,"No tests",IF(F152&gt;0,"Failing",IF(E152=C152,"Verified","In progress"))))</f>
        <v/>
      </c>
    </row>
    <row r="153">
      <c r="A153" s="5">
        <f>IF(Requirements!A153="","",Requirements!A153)</f>
        <v/>
      </c>
      <c r="B153" s="5">
        <f>IF(A153="","",Requirements!B153)</f>
        <v/>
      </c>
      <c r="C153" s="5">
        <f>IF(A153="","",COUNTIF(TestCases!$B$2:$B$1001,A153))</f>
        <v/>
      </c>
      <c r="D153" s="5">
        <f>IF(A153="","",COUNTIFS(TestCases!$B$2:$B$1001,A153,TestCases!$K$2:$K$1001,"Approved"))</f>
        <v/>
      </c>
      <c r="E153" s="5">
        <f>IF(A153="","",COUNTIFS(TestCases!$B$2:$B$1001,A153,TestCases!$N$2:$N$1001,"Passed"))</f>
        <v/>
      </c>
      <c r="F153" s="5">
        <f>IF(A153="","",COUNTIFS(TestCases!$B$2:$B$1001,A153,TestCases!$N$2:$N$1001,"Failed")+COUNTIFS(TestCases!$B$2:$B$1001,A153,TestCases!$N$2:$N$1001,"Timed out"))</f>
        <v/>
      </c>
      <c r="G153" s="5">
        <f>IF(A153="","",C153-E153-F153-COUNTIFS(TestCases!$B$2:$B$1001,A153,TestCases!$N$2:$N$1001,"Flaky"))</f>
        <v/>
      </c>
      <c r="H153" s="5">
        <f>IF(A153="","",IF(C153=0,"No tests",IF(F153&gt;0,"Failing",IF(E153=C153,"Verified","In progress"))))</f>
        <v/>
      </c>
    </row>
    <row r="154">
      <c r="A154" s="5">
        <f>IF(Requirements!A154="","",Requirements!A154)</f>
        <v/>
      </c>
      <c r="B154" s="5">
        <f>IF(A154="","",Requirements!B154)</f>
        <v/>
      </c>
      <c r="C154" s="5">
        <f>IF(A154="","",COUNTIF(TestCases!$B$2:$B$1001,A154))</f>
        <v/>
      </c>
      <c r="D154" s="5">
        <f>IF(A154="","",COUNTIFS(TestCases!$B$2:$B$1001,A154,TestCases!$K$2:$K$1001,"Approved"))</f>
        <v/>
      </c>
      <c r="E154" s="5">
        <f>IF(A154="","",COUNTIFS(TestCases!$B$2:$B$1001,A154,TestCases!$N$2:$N$1001,"Passed"))</f>
        <v/>
      </c>
      <c r="F154" s="5">
        <f>IF(A154="","",COUNTIFS(TestCases!$B$2:$B$1001,A154,TestCases!$N$2:$N$1001,"Failed")+COUNTIFS(TestCases!$B$2:$B$1001,A154,TestCases!$N$2:$N$1001,"Timed out"))</f>
        <v/>
      </c>
      <c r="G154" s="5">
        <f>IF(A154="","",C154-E154-F154-COUNTIFS(TestCases!$B$2:$B$1001,A154,TestCases!$N$2:$N$1001,"Flaky"))</f>
        <v/>
      </c>
      <c r="H154" s="5">
        <f>IF(A154="","",IF(C154=0,"No tests",IF(F154&gt;0,"Failing",IF(E154=C154,"Verified","In progress"))))</f>
        <v/>
      </c>
    </row>
    <row r="155">
      <c r="A155" s="5">
        <f>IF(Requirements!A155="","",Requirements!A155)</f>
        <v/>
      </c>
      <c r="B155" s="5">
        <f>IF(A155="","",Requirements!B155)</f>
        <v/>
      </c>
      <c r="C155" s="5">
        <f>IF(A155="","",COUNTIF(TestCases!$B$2:$B$1001,A155))</f>
        <v/>
      </c>
      <c r="D155" s="5">
        <f>IF(A155="","",COUNTIFS(TestCases!$B$2:$B$1001,A155,TestCases!$K$2:$K$1001,"Approved"))</f>
        <v/>
      </c>
      <c r="E155" s="5">
        <f>IF(A155="","",COUNTIFS(TestCases!$B$2:$B$1001,A155,TestCases!$N$2:$N$1001,"Passed"))</f>
        <v/>
      </c>
      <c r="F155" s="5">
        <f>IF(A155="","",COUNTIFS(TestCases!$B$2:$B$1001,A155,TestCases!$N$2:$N$1001,"Failed")+COUNTIFS(TestCases!$B$2:$B$1001,A155,TestCases!$N$2:$N$1001,"Timed out"))</f>
        <v/>
      </c>
      <c r="G155" s="5">
        <f>IF(A155="","",C155-E155-F155-COUNTIFS(TestCases!$B$2:$B$1001,A155,TestCases!$N$2:$N$1001,"Flaky"))</f>
        <v/>
      </c>
      <c r="H155" s="5">
        <f>IF(A155="","",IF(C155=0,"No tests",IF(F155&gt;0,"Failing",IF(E155=C155,"Verified","In progress"))))</f>
        <v/>
      </c>
    </row>
    <row r="156">
      <c r="A156" s="5">
        <f>IF(Requirements!A156="","",Requirements!A156)</f>
        <v/>
      </c>
      <c r="B156" s="5">
        <f>IF(A156="","",Requirements!B156)</f>
        <v/>
      </c>
      <c r="C156" s="5">
        <f>IF(A156="","",COUNTIF(TestCases!$B$2:$B$1001,A156))</f>
        <v/>
      </c>
      <c r="D156" s="5">
        <f>IF(A156="","",COUNTIFS(TestCases!$B$2:$B$1001,A156,TestCases!$K$2:$K$1001,"Approved"))</f>
        <v/>
      </c>
      <c r="E156" s="5">
        <f>IF(A156="","",COUNTIFS(TestCases!$B$2:$B$1001,A156,TestCases!$N$2:$N$1001,"Passed"))</f>
        <v/>
      </c>
      <c r="F156" s="5">
        <f>IF(A156="","",COUNTIFS(TestCases!$B$2:$B$1001,A156,TestCases!$N$2:$N$1001,"Failed")+COUNTIFS(TestCases!$B$2:$B$1001,A156,TestCases!$N$2:$N$1001,"Timed out"))</f>
        <v/>
      </c>
      <c r="G156" s="5">
        <f>IF(A156="","",C156-E156-F156-COUNTIFS(TestCases!$B$2:$B$1001,A156,TestCases!$N$2:$N$1001,"Flaky"))</f>
        <v/>
      </c>
      <c r="H156" s="5">
        <f>IF(A156="","",IF(C156=0,"No tests",IF(F156&gt;0,"Failing",IF(E156=C156,"Verified","In progress"))))</f>
        <v/>
      </c>
    </row>
    <row r="157">
      <c r="A157" s="5">
        <f>IF(Requirements!A157="","",Requirements!A157)</f>
        <v/>
      </c>
      <c r="B157" s="5">
        <f>IF(A157="","",Requirements!B157)</f>
        <v/>
      </c>
      <c r="C157" s="5">
        <f>IF(A157="","",COUNTIF(TestCases!$B$2:$B$1001,A157))</f>
        <v/>
      </c>
      <c r="D157" s="5">
        <f>IF(A157="","",COUNTIFS(TestCases!$B$2:$B$1001,A157,TestCases!$K$2:$K$1001,"Approved"))</f>
        <v/>
      </c>
      <c r="E157" s="5">
        <f>IF(A157="","",COUNTIFS(TestCases!$B$2:$B$1001,A157,TestCases!$N$2:$N$1001,"Passed"))</f>
        <v/>
      </c>
      <c r="F157" s="5">
        <f>IF(A157="","",COUNTIFS(TestCases!$B$2:$B$1001,A157,TestCases!$N$2:$N$1001,"Failed")+COUNTIFS(TestCases!$B$2:$B$1001,A157,TestCases!$N$2:$N$1001,"Timed out"))</f>
        <v/>
      </c>
      <c r="G157" s="5">
        <f>IF(A157="","",C157-E157-F157-COUNTIFS(TestCases!$B$2:$B$1001,A157,TestCases!$N$2:$N$1001,"Flaky"))</f>
        <v/>
      </c>
      <c r="H157" s="5">
        <f>IF(A157="","",IF(C157=0,"No tests",IF(F157&gt;0,"Failing",IF(E157=C157,"Verified","In progress"))))</f>
        <v/>
      </c>
    </row>
    <row r="158">
      <c r="A158" s="5">
        <f>IF(Requirements!A158="","",Requirements!A158)</f>
        <v/>
      </c>
      <c r="B158" s="5">
        <f>IF(A158="","",Requirements!B158)</f>
        <v/>
      </c>
      <c r="C158" s="5">
        <f>IF(A158="","",COUNTIF(TestCases!$B$2:$B$1001,A158))</f>
        <v/>
      </c>
      <c r="D158" s="5">
        <f>IF(A158="","",COUNTIFS(TestCases!$B$2:$B$1001,A158,TestCases!$K$2:$K$1001,"Approved"))</f>
        <v/>
      </c>
      <c r="E158" s="5">
        <f>IF(A158="","",COUNTIFS(TestCases!$B$2:$B$1001,A158,TestCases!$N$2:$N$1001,"Passed"))</f>
        <v/>
      </c>
      <c r="F158" s="5">
        <f>IF(A158="","",COUNTIFS(TestCases!$B$2:$B$1001,A158,TestCases!$N$2:$N$1001,"Failed")+COUNTIFS(TestCases!$B$2:$B$1001,A158,TestCases!$N$2:$N$1001,"Timed out"))</f>
        <v/>
      </c>
      <c r="G158" s="5">
        <f>IF(A158="","",C158-E158-F158-COUNTIFS(TestCases!$B$2:$B$1001,A158,TestCases!$N$2:$N$1001,"Flaky"))</f>
        <v/>
      </c>
      <c r="H158" s="5">
        <f>IF(A158="","",IF(C158=0,"No tests",IF(F158&gt;0,"Failing",IF(E158=C158,"Verified","In progress"))))</f>
        <v/>
      </c>
    </row>
    <row r="159">
      <c r="A159" s="5">
        <f>IF(Requirements!A159="","",Requirements!A159)</f>
        <v/>
      </c>
      <c r="B159" s="5">
        <f>IF(A159="","",Requirements!B159)</f>
        <v/>
      </c>
      <c r="C159" s="5">
        <f>IF(A159="","",COUNTIF(TestCases!$B$2:$B$1001,A159))</f>
        <v/>
      </c>
      <c r="D159" s="5">
        <f>IF(A159="","",COUNTIFS(TestCases!$B$2:$B$1001,A159,TestCases!$K$2:$K$1001,"Approved"))</f>
        <v/>
      </c>
      <c r="E159" s="5">
        <f>IF(A159="","",COUNTIFS(TestCases!$B$2:$B$1001,A159,TestCases!$N$2:$N$1001,"Passed"))</f>
        <v/>
      </c>
      <c r="F159" s="5">
        <f>IF(A159="","",COUNTIFS(TestCases!$B$2:$B$1001,A159,TestCases!$N$2:$N$1001,"Failed")+COUNTIFS(TestCases!$B$2:$B$1001,A159,TestCases!$N$2:$N$1001,"Timed out"))</f>
        <v/>
      </c>
      <c r="G159" s="5">
        <f>IF(A159="","",C159-E159-F159-COUNTIFS(TestCases!$B$2:$B$1001,A159,TestCases!$N$2:$N$1001,"Flaky"))</f>
        <v/>
      </c>
      <c r="H159" s="5">
        <f>IF(A159="","",IF(C159=0,"No tests",IF(F159&gt;0,"Failing",IF(E159=C159,"Verified","In progress"))))</f>
        <v/>
      </c>
    </row>
    <row r="160">
      <c r="A160" s="5">
        <f>IF(Requirements!A160="","",Requirements!A160)</f>
        <v/>
      </c>
      <c r="B160" s="5">
        <f>IF(A160="","",Requirements!B160)</f>
        <v/>
      </c>
      <c r="C160" s="5">
        <f>IF(A160="","",COUNTIF(TestCases!$B$2:$B$1001,A160))</f>
        <v/>
      </c>
      <c r="D160" s="5">
        <f>IF(A160="","",COUNTIFS(TestCases!$B$2:$B$1001,A160,TestCases!$K$2:$K$1001,"Approved"))</f>
        <v/>
      </c>
      <c r="E160" s="5">
        <f>IF(A160="","",COUNTIFS(TestCases!$B$2:$B$1001,A160,TestCases!$N$2:$N$1001,"Passed"))</f>
        <v/>
      </c>
      <c r="F160" s="5">
        <f>IF(A160="","",COUNTIFS(TestCases!$B$2:$B$1001,A160,TestCases!$N$2:$N$1001,"Failed")+COUNTIFS(TestCases!$B$2:$B$1001,A160,TestCases!$N$2:$N$1001,"Timed out"))</f>
        <v/>
      </c>
      <c r="G160" s="5">
        <f>IF(A160="","",C160-E160-F160-COUNTIFS(TestCases!$B$2:$B$1001,A160,TestCases!$N$2:$N$1001,"Flaky"))</f>
        <v/>
      </c>
      <c r="H160" s="5">
        <f>IF(A160="","",IF(C160=0,"No tests",IF(F160&gt;0,"Failing",IF(E160=C160,"Verified","In progress"))))</f>
        <v/>
      </c>
    </row>
    <row r="161">
      <c r="A161" s="5">
        <f>IF(Requirements!A161="","",Requirements!A161)</f>
        <v/>
      </c>
      <c r="B161" s="5">
        <f>IF(A161="","",Requirements!B161)</f>
        <v/>
      </c>
      <c r="C161" s="5">
        <f>IF(A161="","",COUNTIF(TestCases!$B$2:$B$1001,A161))</f>
        <v/>
      </c>
      <c r="D161" s="5">
        <f>IF(A161="","",COUNTIFS(TestCases!$B$2:$B$1001,A161,TestCases!$K$2:$K$1001,"Approved"))</f>
        <v/>
      </c>
      <c r="E161" s="5">
        <f>IF(A161="","",COUNTIFS(TestCases!$B$2:$B$1001,A161,TestCases!$N$2:$N$1001,"Passed"))</f>
        <v/>
      </c>
      <c r="F161" s="5">
        <f>IF(A161="","",COUNTIFS(TestCases!$B$2:$B$1001,A161,TestCases!$N$2:$N$1001,"Failed")+COUNTIFS(TestCases!$B$2:$B$1001,A161,TestCases!$N$2:$N$1001,"Timed out"))</f>
        <v/>
      </c>
      <c r="G161" s="5">
        <f>IF(A161="","",C161-E161-F161-COUNTIFS(TestCases!$B$2:$B$1001,A161,TestCases!$N$2:$N$1001,"Flaky"))</f>
        <v/>
      </c>
      <c r="H161" s="5">
        <f>IF(A161="","",IF(C161=0,"No tests",IF(F161&gt;0,"Failing",IF(E161=C161,"Verified","In progress"))))</f>
        <v/>
      </c>
    </row>
    <row r="162">
      <c r="A162" s="5">
        <f>IF(Requirements!A162="","",Requirements!A162)</f>
        <v/>
      </c>
      <c r="B162" s="5">
        <f>IF(A162="","",Requirements!B162)</f>
        <v/>
      </c>
      <c r="C162" s="5">
        <f>IF(A162="","",COUNTIF(TestCases!$B$2:$B$1001,A162))</f>
        <v/>
      </c>
      <c r="D162" s="5">
        <f>IF(A162="","",COUNTIFS(TestCases!$B$2:$B$1001,A162,TestCases!$K$2:$K$1001,"Approved"))</f>
        <v/>
      </c>
      <c r="E162" s="5">
        <f>IF(A162="","",COUNTIFS(TestCases!$B$2:$B$1001,A162,TestCases!$N$2:$N$1001,"Passed"))</f>
        <v/>
      </c>
      <c r="F162" s="5">
        <f>IF(A162="","",COUNTIFS(TestCases!$B$2:$B$1001,A162,TestCases!$N$2:$N$1001,"Failed")+COUNTIFS(TestCases!$B$2:$B$1001,A162,TestCases!$N$2:$N$1001,"Timed out"))</f>
        <v/>
      </c>
      <c r="G162" s="5">
        <f>IF(A162="","",C162-E162-F162-COUNTIFS(TestCases!$B$2:$B$1001,A162,TestCases!$N$2:$N$1001,"Flaky"))</f>
        <v/>
      </c>
      <c r="H162" s="5">
        <f>IF(A162="","",IF(C162=0,"No tests",IF(F162&gt;0,"Failing",IF(E162=C162,"Verified","In progress"))))</f>
        <v/>
      </c>
    </row>
    <row r="163">
      <c r="A163" s="5">
        <f>IF(Requirements!A163="","",Requirements!A163)</f>
        <v/>
      </c>
      <c r="B163" s="5">
        <f>IF(A163="","",Requirements!B163)</f>
        <v/>
      </c>
      <c r="C163" s="5">
        <f>IF(A163="","",COUNTIF(TestCases!$B$2:$B$1001,A163))</f>
        <v/>
      </c>
      <c r="D163" s="5">
        <f>IF(A163="","",COUNTIFS(TestCases!$B$2:$B$1001,A163,TestCases!$K$2:$K$1001,"Approved"))</f>
        <v/>
      </c>
      <c r="E163" s="5">
        <f>IF(A163="","",COUNTIFS(TestCases!$B$2:$B$1001,A163,TestCases!$N$2:$N$1001,"Passed"))</f>
        <v/>
      </c>
      <c r="F163" s="5">
        <f>IF(A163="","",COUNTIFS(TestCases!$B$2:$B$1001,A163,TestCases!$N$2:$N$1001,"Failed")+COUNTIFS(TestCases!$B$2:$B$1001,A163,TestCases!$N$2:$N$1001,"Timed out"))</f>
        <v/>
      </c>
      <c r="G163" s="5">
        <f>IF(A163="","",C163-E163-F163-COUNTIFS(TestCases!$B$2:$B$1001,A163,TestCases!$N$2:$N$1001,"Flaky"))</f>
        <v/>
      </c>
      <c r="H163" s="5">
        <f>IF(A163="","",IF(C163=0,"No tests",IF(F163&gt;0,"Failing",IF(E163=C163,"Verified","In progress"))))</f>
        <v/>
      </c>
    </row>
    <row r="164">
      <c r="A164" s="5">
        <f>IF(Requirements!A164="","",Requirements!A164)</f>
        <v/>
      </c>
      <c r="B164" s="5">
        <f>IF(A164="","",Requirements!B164)</f>
        <v/>
      </c>
      <c r="C164" s="5">
        <f>IF(A164="","",COUNTIF(TestCases!$B$2:$B$1001,A164))</f>
        <v/>
      </c>
      <c r="D164" s="5">
        <f>IF(A164="","",COUNTIFS(TestCases!$B$2:$B$1001,A164,TestCases!$K$2:$K$1001,"Approved"))</f>
        <v/>
      </c>
      <c r="E164" s="5">
        <f>IF(A164="","",COUNTIFS(TestCases!$B$2:$B$1001,A164,TestCases!$N$2:$N$1001,"Passed"))</f>
        <v/>
      </c>
      <c r="F164" s="5">
        <f>IF(A164="","",COUNTIFS(TestCases!$B$2:$B$1001,A164,TestCases!$N$2:$N$1001,"Failed")+COUNTIFS(TestCases!$B$2:$B$1001,A164,TestCases!$N$2:$N$1001,"Timed out"))</f>
        <v/>
      </c>
      <c r="G164" s="5">
        <f>IF(A164="","",C164-E164-F164-COUNTIFS(TestCases!$B$2:$B$1001,A164,TestCases!$N$2:$N$1001,"Flaky"))</f>
        <v/>
      </c>
      <c r="H164" s="5">
        <f>IF(A164="","",IF(C164=0,"No tests",IF(F164&gt;0,"Failing",IF(E164=C164,"Verified","In progress"))))</f>
        <v/>
      </c>
    </row>
    <row r="165">
      <c r="A165" s="5">
        <f>IF(Requirements!A165="","",Requirements!A165)</f>
        <v/>
      </c>
      <c r="B165" s="5">
        <f>IF(A165="","",Requirements!B165)</f>
        <v/>
      </c>
      <c r="C165" s="5">
        <f>IF(A165="","",COUNTIF(TestCases!$B$2:$B$1001,A165))</f>
        <v/>
      </c>
      <c r="D165" s="5">
        <f>IF(A165="","",COUNTIFS(TestCases!$B$2:$B$1001,A165,TestCases!$K$2:$K$1001,"Approved"))</f>
        <v/>
      </c>
      <c r="E165" s="5">
        <f>IF(A165="","",COUNTIFS(TestCases!$B$2:$B$1001,A165,TestCases!$N$2:$N$1001,"Passed"))</f>
        <v/>
      </c>
      <c r="F165" s="5">
        <f>IF(A165="","",COUNTIFS(TestCases!$B$2:$B$1001,A165,TestCases!$N$2:$N$1001,"Failed")+COUNTIFS(TestCases!$B$2:$B$1001,A165,TestCases!$N$2:$N$1001,"Timed out"))</f>
        <v/>
      </c>
      <c r="G165" s="5">
        <f>IF(A165="","",C165-E165-F165-COUNTIFS(TestCases!$B$2:$B$1001,A165,TestCases!$N$2:$N$1001,"Flaky"))</f>
        <v/>
      </c>
      <c r="H165" s="5">
        <f>IF(A165="","",IF(C165=0,"No tests",IF(F165&gt;0,"Failing",IF(E165=C165,"Verified","In progress"))))</f>
        <v/>
      </c>
    </row>
    <row r="166">
      <c r="A166" s="5">
        <f>IF(Requirements!A166="","",Requirements!A166)</f>
        <v/>
      </c>
      <c r="B166" s="5">
        <f>IF(A166="","",Requirements!B166)</f>
        <v/>
      </c>
      <c r="C166" s="5">
        <f>IF(A166="","",COUNTIF(TestCases!$B$2:$B$1001,A166))</f>
        <v/>
      </c>
      <c r="D166" s="5">
        <f>IF(A166="","",COUNTIFS(TestCases!$B$2:$B$1001,A166,TestCases!$K$2:$K$1001,"Approved"))</f>
        <v/>
      </c>
      <c r="E166" s="5">
        <f>IF(A166="","",COUNTIFS(TestCases!$B$2:$B$1001,A166,TestCases!$N$2:$N$1001,"Passed"))</f>
        <v/>
      </c>
      <c r="F166" s="5">
        <f>IF(A166="","",COUNTIFS(TestCases!$B$2:$B$1001,A166,TestCases!$N$2:$N$1001,"Failed")+COUNTIFS(TestCases!$B$2:$B$1001,A166,TestCases!$N$2:$N$1001,"Timed out"))</f>
        <v/>
      </c>
      <c r="G166" s="5">
        <f>IF(A166="","",C166-E166-F166-COUNTIFS(TestCases!$B$2:$B$1001,A166,TestCases!$N$2:$N$1001,"Flaky"))</f>
        <v/>
      </c>
      <c r="H166" s="5">
        <f>IF(A166="","",IF(C166=0,"No tests",IF(F166&gt;0,"Failing",IF(E166=C166,"Verified","In progress"))))</f>
        <v/>
      </c>
    </row>
    <row r="167">
      <c r="A167" s="5">
        <f>IF(Requirements!A167="","",Requirements!A167)</f>
        <v/>
      </c>
      <c r="B167" s="5">
        <f>IF(A167="","",Requirements!B167)</f>
        <v/>
      </c>
      <c r="C167" s="5">
        <f>IF(A167="","",COUNTIF(TestCases!$B$2:$B$1001,A167))</f>
        <v/>
      </c>
      <c r="D167" s="5">
        <f>IF(A167="","",COUNTIFS(TestCases!$B$2:$B$1001,A167,TestCases!$K$2:$K$1001,"Approved"))</f>
        <v/>
      </c>
      <c r="E167" s="5">
        <f>IF(A167="","",COUNTIFS(TestCases!$B$2:$B$1001,A167,TestCases!$N$2:$N$1001,"Passed"))</f>
        <v/>
      </c>
      <c r="F167" s="5">
        <f>IF(A167="","",COUNTIFS(TestCases!$B$2:$B$1001,A167,TestCases!$N$2:$N$1001,"Failed")+COUNTIFS(TestCases!$B$2:$B$1001,A167,TestCases!$N$2:$N$1001,"Timed out"))</f>
        <v/>
      </c>
      <c r="G167" s="5">
        <f>IF(A167="","",C167-E167-F167-COUNTIFS(TestCases!$B$2:$B$1001,A167,TestCases!$N$2:$N$1001,"Flaky"))</f>
        <v/>
      </c>
      <c r="H167" s="5">
        <f>IF(A167="","",IF(C167=0,"No tests",IF(F167&gt;0,"Failing",IF(E167=C167,"Verified","In progress"))))</f>
        <v/>
      </c>
    </row>
    <row r="168">
      <c r="A168" s="5">
        <f>IF(Requirements!A168="","",Requirements!A168)</f>
        <v/>
      </c>
      <c r="B168" s="5">
        <f>IF(A168="","",Requirements!B168)</f>
        <v/>
      </c>
      <c r="C168" s="5">
        <f>IF(A168="","",COUNTIF(TestCases!$B$2:$B$1001,A168))</f>
        <v/>
      </c>
      <c r="D168" s="5">
        <f>IF(A168="","",COUNTIFS(TestCases!$B$2:$B$1001,A168,TestCases!$K$2:$K$1001,"Approved"))</f>
        <v/>
      </c>
      <c r="E168" s="5">
        <f>IF(A168="","",COUNTIFS(TestCases!$B$2:$B$1001,A168,TestCases!$N$2:$N$1001,"Passed"))</f>
        <v/>
      </c>
      <c r="F168" s="5">
        <f>IF(A168="","",COUNTIFS(TestCases!$B$2:$B$1001,A168,TestCases!$N$2:$N$1001,"Failed")+COUNTIFS(TestCases!$B$2:$B$1001,A168,TestCases!$N$2:$N$1001,"Timed out"))</f>
        <v/>
      </c>
      <c r="G168" s="5">
        <f>IF(A168="","",C168-E168-F168-COUNTIFS(TestCases!$B$2:$B$1001,A168,TestCases!$N$2:$N$1001,"Flaky"))</f>
        <v/>
      </c>
      <c r="H168" s="5">
        <f>IF(A168="","",IF(C168=0,"No tests",IF(F168&gt;0,"Failing",IF(E168=C168,"Verified","In progress"))))</f>
        <v/>
      </c>
    </row>
    <row r="169">
      <c r="A169" s="5">
        <f>IF(Requirements!A169="","",Requirements!A169)</f>
        <v/>
      </c>
      <c r="B169" s="5">
        <f>IF(A169="","",Requirements!B169)</f>
        <v/>
      </c>
      <c r="C169" s="5">
        <f>IF(A169="","",COUNTIF(TestCases!$B$2:$B$1001,A169))</f>
        <v/>
      </c>
      <c r="D169" s="5">
        <f>IF(A169="","",COUNTIFS(TestCases!$B$2:$B$1001,A169,TestCases!$K$2:$K$1001,"Approved"))</f>
        <v/>
      </c>
      <c r="E169" s="5">
        <f>IF(A169="","",COUNTIFS(TestCases!$B$2:$B$1001,A169,TestCases!$N$2:$N$1001,"Passed"))</f>
        <v/>
      </c>
      <c r="F169" s="5">
        <f>IF(A169="","",COUNTIFS(TestCases!$B$2:$B$1001,A169,TestCases!$N$2:$N$1001,"Failed")+COUNTIFS(TestCases!$B$2:$B$1001,A169,TestCases!$N$2:$N$1001,"Timed out"))</f>
        <v/>
      </c>
      <c r="G169" s="5">
        <f>IF(A169="","",C169-E169-F169-COUNTIFS(TestCases!$B$2:$B$1001,A169,TestCases!$N$2:$N$1001,"Flaky"))</f>
        <v/>
      </c>
      <c r="H169" s="5">
        <f>IF(A169="","",IF(C169=0,"No tests",IF(F169&gt;0,"Failing",IF(E169=C169,"Verified","In progress"))))</f>
        <v/>
      </c>
    </row>
    <row r="170">
      <c r="A170" s="5">
        <f>IF(Requirements!A170="","",Requirements!A170)</f>
        <v/>
      </c>
      <c r="B170" s="5">
        <f>IF(A170="","",Requirements!B170)</f>
        <v/>
      </c>
      <c r="C170" s="5">
        <f>IF(A170="","",COUNTIF(TestCases!$B$2:$B$1001,A170))</f>
        <v/>
      </c>
      <c r="D170" s="5">
        <f>IF(A170="","",COUNTIFS(TestCases!$B$2:$B$1001,A170,TestCases!$K$2:$K$1001,"Approved"))</f>
        <v/>
      </c>
      <c r="E170" s="5">
        <f>IF(A170="","",COUNTIFS(TestCases!$B$2:$B$1001,A170,TestCases!$N$2:$N$1001,"Passed"))</f>
        <v/>
      </c>
      <c r="F170" s="5">
        <f>IF(A170="","",COUNTIFS(TestCases!$B$2:$B$1001,A170,TestCases!$N$2:$N$1001,"Failed")+COUNTIFS(TestCases!$B$2:$B$1001,A170,TestCases!$N$2:$N$1001,"Timed out"))</f>
        <v/>
      </c>
      <c r="G170" s="5">
        <f>IF(A170="","",C170-E170-F170-COUNTIFS(TestCases!$B$2:$B$1001,A170,TestCases!$N$2:$N$1001,"Flaky"))</f>
        <v/>
      </c>
      <c r="H170" s="5">
        <f>IF(A170="","",IF(C170=0,"No tests",IF(F170&gt;0,"Failing",IF(E170=C170,"Verified","In progress"))))</f>
        <v/>
      </c>
    </row>
    <row r="171">
      <c r="A171" s="5">
        <f>IF(Requirements!A171="","",Requirements!A171)</f>
        <v/>
      </c>
      <c r="B171" s="5">
        <f>IF(A171="","",Requirements!B171)</f>
        <v/>
      </c>
      <c r="C171" s="5">
        <f>IF(A171="","",COUNTIF(TestCases!$B$2:$B$1001,A171))</f>
        <v/>
      </c>
      <c r="D171" s="5">
        <f>IF(A171="","",COUNTIFS(TestCases!$B$2:$B$1001,A171,TestCases!$K$2:$K$1001,"Approved"))</f>
        <v/>
      </c>
      <c r="E171" s="5">
        <f>IF(A171="","",COUNTIFS(TestCases!$B$2:$B$1001,A171,TestCases!$N$2:$N$1001,"Passed"))</f>
        <v/>
      </c>
      <c r="F171" s="5">
        <f>IF(A171="","",COUNTIFS(TestCases!$B$2:$B$1001,A171,TestCases!$N$2:$N$1001,"Failed")+COUNTIFS(TestCases!$B$2:$B$1001,A171,TestCases!$N$2:$N$1001,"Timed out"))</f>
        <v/>
      </c>
      <c r="G171" s="5">
        <f>IF(A171="","",C171-E171-F171-COUNTIFS(TestCases!$B$2:$B$1001,A171,TestCases!$N$2:$N$1001,"Flaky"))</f>
        <v/>
      </c>
      <c r="H171" s="5">
        <f>IF(A171="","",IF(C171=0,"No tests",IF(F171&gt;0,"Failing",IF(E171=C171,"Verified","In progress"))))</f>
        <v/>
      </c>
    </row>
    <row r="172">
      <c r="A172" s="5">
        <f>IF(Requirements!A172="","",Requirements!A172)</f>
        <v/>
      </c>
      <c r="B172" s="5">
        <f>IF(A172="","",Requirements!B172)</f>
        <v/>
      </c>
      <c r="C172" s="5">
        <f>IF(A172="","",COUNTIF(TestCases!$B$2:$B$1001,A172))</f>
        <v/>
      </c>
      <c r="D172" s="5">
        <f>IF(A172="","",COUNTIFS(TestCases!$B$2:$B$1001,A172,TestCases!$K$2:$K$1001,"Approved"))</f>
        <v/>
      </c>
      <c r="E172" s="5">
        <f>IF(A172="","",COUNTIFS(TestCases!$B$2:$B$1001,A172,TestCases!$N$2:$N$1001,"Passed"))</f>
        <v/>
      </c>
      <c r="F172" s="5">
        <f>IF(A172="","",COUNTIFS(TestCases!$B$2:$B$1001,A172,TestCases!$N$2:$N$1001,"Failed")+COUNTIFS(TestCases!$B$2:$B$1001,A172,TestCases!$N$2:$N$1001,"Timed out"))</f>
        <v/>
      </c>
      <c r="G172" s="5">
        <f>IF(A172="","",C172-E172-F172-COUNTIFS(TestCases!$B$2:$B$1001,A172,TestCases!$N$2:$N$1001,"Flaky"))</f>
        <v/>
      </c>
      <c r="H172" s="5">
        <f>IF(A172="","",IF(C172=0,"No tests",IF(F172&gt;0,"Failing",IF(E172=C172,"Verified","In progress"))))</f>
        <v/>
      </c>
    </row>
    <row r="173">
      <c r="A173" s="5">
        <f>IF(Requirements!A173="","",Requirements!A173)</f>
        <v/>
      </c>
      <c r="B173" s="5">
        <f>IF(A173="","",Requirements!B173)</f>
        <v/>
      </c>
      <c r="C173" s="5">
        <f>IF(A173="","",COUNTIF(TestCases!$B$2:$B$1001,A173))</f>
        <v/>
      </c>
      <c r="D173" s="5">
        <f>IF(A173="","",COUNTIFS(TestCases!$B$2:$B$1001,A173,TestCases!$K$2:$K$1001,"Approved"))</f>
        <v/>
      </c>
      <c r="E173" s="5">
        <f>IF(A173="","",COUNTIFS(TestCases!$B$2:$B$1001,A173,TestCases!$N$2:$N$1001,"Passed"))</f>
        <v/>
      </c>
      <c r="F173" s="5">
        <f>IF(A173="","",COUNTIFS(TestCases!$B$2:$B$1001,A173,TestCases!$N$2:$N$1001,"Failed")+COUNTIFS(TestCases!$B$2:$B$1001,A173,TestCases!$N$2:$N$1001,"Timed out"))</f>
        <v/>
      </c>
      <c r="G173" s="5">
        <f>IF(A173="","",C173-E173-F173-COUNTIFS(TestCases!$B$2:$B$1001,A173,TestCases!$N$2:$N$1001,"Flaky"))</f>
        <v/>
      </c>
      <c r="H173" s="5">
        <f>IF(A173="","",IF(C173=0,"No tests",IF(F173&gt;0,"Failing",IF(E173=C173,"Verified","In progress"))))</f>
        <v/>
      </c>
    </row>
    <row r="174">
      <c r="A174" s="5">
        <f>IF(Requirements!A174="","",Requirements!A174)</f>
        <v/>
      </c>
      <c r="B174" s="5">
        <f>IF(A174="","",Requirements!B174)</f>
        <v/>
      </c>
      <c r="C174" s="5">
        <f>IF(A174="","",COUNTIF(TestCases!$B$2:$B$1001,A174))</f>
        <v/>
      </c>
      <c r="D174" s="5">
        <f>IF(A174="","",COUNTIFS(TestCases!$B$2:$B$1001,A174,TestCases!$K$2:$K$1001,"Approved"))</f>
        <v/>
      </c>
      <c r="E174" s="5">
        <f>IF(A174="","",COUNTIFS(TestCases!$B$2:$B$1001,A174,TestCases!$N$2:$N$1001,"Passed"))</f>
        <v/>
      </c>
      <c r="F174" s="5">
        <f>IF(A174="","",COUNTIFS(TestCases!$B$2:$B$1001,A174,TestCases!$N$2:$N$1001,"Failed")+COUNTIFS(TestCases!$B$2:$B$1001,A174,TestCases!$N$2:$N$1001,"Timed out"))</f>
        <v/>
      </c>
      <c r="G174" s="5">
        <f>IF(A174="","",C174-E174-F174-COUNTIFS(TestCases!$B$2:$B$1001,A174,TestCases!$N$2:$N$1001,"Flaky"))</f>
        <v/>
      </c>
      <c r="H174" s="5">
        <f>IF(A174="","",IF(C174=0,"No tests",IF(F174&gt;0,"Failing",IF(E174=C174,"Verified","In progress"))))</f>
        <v/>
      </c>
    </row>
    <row r="175">
      <c r="A175" s="5">
        <f>IF(Requirements!A175="","",Requirements!A175)</f>
        <v/>
      </c>
      <c r="B175" s="5">
        <f>IF(A175="","",Requirements!B175)</f>
        <v/>
      </c>
      <c r="C175" s="5">
        <f>IF(A175="","",COUNTIF(TestCases!$B$2:$B$1001,A175))</f>
        <v/>
      </c>
      <c r="D175" s="5">
        <f>IF(A175="","",COUNTIFS(TestCases!$B$2:$B$1001,A175,TestCases!$K$2:$K$1001,"Approved"))</f>
        <v/>
      </c>
      <c r="E175" s="5">
        <f>IF(A175="","",COUNTIFS(TestCases!$B$2:$B$1001,A175,TestCases!$N$2:$N$1001,"Passed"))</f>
        <v/>
      </c>
      <c r="F175" s="5">
        <f>IF(A175="","",COUNTIFS(TestCases!$B$2:$B$1001,A175,TestCases!$N$2:$N$1001,"Failed")+COUNTIFS(TestCases!$B$2:$B$1001,A175,TestCases!$N$2:$N$1001,"Timed out"))</f>
        <v/>
      </c>
      <c r="G175" s="5">
        <f>IF(A175="","",C175-E175-F175-COUNTIFS(TestCases!$B$2:$B$1001,A175,TestCases!$N$2:$N$1001,"Flaky"))</f>
        <v/>
      </c>
      <c r="H175" s="5">
        <f>IF(A175="","",IF(C175=0,"No tests",IF(F175&gt;0,"Failing",IF(E175=C175,"Verified","In progress"))))</f>
        <v/>
      </c>
    </row>
    <row r="176">
      <c r="A176" s="5">
        <f>IF(Requirements!A176="","",Requirements!A176)</f>
        <v/>
      </c>
      <c r="B176" s="5">
        <f>IF(A176="","",Requirements!B176)</f>
        <v/>
      </c>
      <c r="C176" s="5">
        <f>IF(A176="","",COUNTIF(TestCases!$B$2:$B$1001,A176))</f>
        <v/>
      </c>
      <c r="D176" s="5">
        <f>IF(A176="","",COUNTIFS(TestCases!$B$2:$B$1001,A176,TestCases!$K$2:$K$1001,"Approved"))</f>
        <v/>
      </c>
      <c r="E176" s="5">
        <f>IF(A176="","",COUNTIFS(TestCases!$B$2:$B$1001,A176,TestCases!$N$2:$N$1001,"Passed"))</f>
        <v/>
      </c>
      <c r="F176" s="5">
        <f>IF(A176="","",COUNTIFS(TestCases!$B$2:$B$1001,A176,TestCases!$N$2:$N$1001,"Failed")+COUNTIFS(TestCases!$B$2:$B$1001,A176,TestCases!$N$2:$N$1001,"Timed out"))</f>
        <v/>
      </c>
      <c r="G176" s="5">
        <f>IF(A176="","",C176-E176-F176-COUNTIFS(TestCases!$B$2:$B$1001,A176,TestCases!$N$2:$N$1001,"Flaky"))</f>
        <v/>
      </c>
      <c r="H176" s="5">
        <f>IF(A176="","",IF(C176=0,"No tests",IF(F176&gt;0,"Failing",IF(E176=C176,"Verified","In progress"))))</f>
        <v/>
      </c>
    </row>
    <row r="177">
      <c r="A177" s="5">
        <f>IF(Requirements!A177="","",Requirements!A177)</f>
        <v/>
      </c>
      <c r="B177" s="5">
        <f>IF(A177="","",Requirements!B177)</f>
        <v/>
      </c>
      <c r="C177" s="5">
        <f>IF(A177="","",COUNTIF(TestCases!$B$2:$B$1001,A177))</f>
        <v/>
      </c>
      <c r="D177" s="5">
        <f>IF(A177="","",COUNTIFS(TestCases!$B$2:$B$1001,A177,TestCases!$K$2:$K$1001,"Approved"))</f>
        <v/>
      </c>
      <c r="E177" s="5">
        <f>IF(A177="","",COUNTIFS(TestCases!$B$2:$B$1001,A177,TestCases!$N$2:$N$1001,"Passed"))</f>
        <v/>
      </c>
      <c r="F177" s="5">
        <f>IF(A177="","",COUNTIFS(TestCases!$B$2:$B$1001,A177,TestCases!$N$2:$N$1001,"Failed")+COUNTIFS(TestCases!$B$2:$B$1001,A177,TestCases!$N$2:$N$1001,"Timed out"))</f>
        <v/>
      </c>
      <c r="G177" s="5">
        <f>IF(A177="","",C177-E177-F177-COUNTIFS(TestCases!$B$2:$B$1001,A177,TestCases!$N$2:$N$1001,"Flaky"))</f>
        <v/>
      </c>
      <c r="H177" s="5">
        <f>IF(A177="","",IF(C177=0,"No tests",IF(F177&gt;0,"Failing",IF(E177=C177,"Verified","In progress"))))</f>
        <v/>
      </c>
    </row>
    <row r="178">
      <c r="A178" s="5">
        <f>IF(Requirements!A178="","",Requirements!A178)</f>
        <v/>
      </c>
      <c r="B178" s="5">
        <f>IF(A178="","",Requirements!B178)</f>
        <v/>
      </c>
      <c r="C178" s="5">
        <f>IF(A178="","",COUNTIF(TestCases!$B$2:$B$1001,A178))</f>
        <v/>
      </c>
      <c r="D178" s="5">
        <f>IF(A178="","",COUNTIFS(TestCases!$B$2:$B$1001,A178,TestCases!$K$2:$K$1001,"Approved"))</f>
        <v/>
      </c>
      <c r="E178" s="5">
        <f>IF(A178="","",COUNTIFS(TestCases!$B$2:$B$1001,A178,TestCases!$N$2:$N$1001,"Passed"))</f>
        <v/>
      </c>
      <c r="F178" s="5">
        <f>IF(A178="","",COUNTIFS(TestCases!$B$2:$B$1001,A178,TestCases!$N$2:$N$1001,"Failed")+COUNTIFS(TestCases!$B$2:$B$1001,A178,TestCases!$N$2:$N$1001,"Timed out"))</f>
        <v/>
      </c>
      <c r="G178" s="5">
        <f>IF(A178="","",C178-E178-F178-COUNTIFS(TestCases!$B$2:$B$1001,A178,TestCases!$N$2:$N$1001,"Flaky"))</f>
        <v/>
      </c>
      <c r="H178" s="5">
        <f>IF(A178="","",IF(C178=0,"No tests",IF(F178&gt;0,"Failing",IF(E178=C178,"Verified","In progress"))))</f>
        <v/>
      </c>
    </row>
    <row r="179">
      <c r="A179" s="5">
        <f>IF(Requirements!A179="","",Requirements!A179)</f>
        <v/>
      </c>
      <c r="B179" s="5">
        <f>IF(A179="","",Requirements!B179)</f>
        <v/>
      </c>
      <c r="C179" s="5">
        <f>IF(A179="","",COUNTIF(TestCases!$B$2:$B$1001,A179))</f>
        <v/>
      </c>
      <c r="D179" s="5">
        <f>IF(A179="","",COUNTIFS(TestCases!$B$2:$B$1001,A179,TestCases!$K$2:$K$1001,"Approved"))</f>
        <v/>
      </c>
      <c r="E179" s="5">
        <f>IF(A179="","",COUNTIFS(TestCases!$B$2:$B$1001,A179,TestCases!$N$2:$N$1001,"Passed"))</f>
        <v/>
      </c>
      <c r="F179" s="5">
        <f>IF(A179="","",COUNTIFS(TestCases!$B$2:$B$1001,A179,TestCases!$N$2:$N$1001,"Failed")+COUNTIFS(TestCases!$B$2:$B$1001,A179,TestCases!$N$2:$N$1001,"Timed out"))</f>
        <v/>
      </c>
      <c r="G179" s="5">
        <f>IF(A179="","",C179-E179-F179-COUNTIFS(TestCases!$B$2:$B$1001,A179,TestCases!$N$2:$N$1001,"Flaky"))</f>
        <v/>
      </c>
      <c r="H179" s="5">
        <f>IF(A179="","",IF(C179=0,"No tests",IF(F179&gt;0,"Failing",IF(E179=C179,"Verified","In progress"))))</f>
        <v/>
      </c>
    </row>
    <row r="180">
      <c r="A180" s="5">
        <f>IF(Requirements!A180="","",Requirements!A180)</f>
        <v/>
      </c>
      <c r="B180" s="5">
        <f>IF(A180="","",Requirements!B180)</f>
        <v/>
      </c>
      <c r="C180" s="5">
        <f>IF(A180="","",COUNTIF(TestCases!$B$2:$B$1001,A180))</f>
        <v/>
      </c>
      <c r="D180" s="5">
        <f>IF(A180="","",COUNTIFS(TestCases!$B$2:$B$1001,A180,TestCases!$K$2:$K$1001,"Approved"))</f>
        <v/>
      </c>
      <c r="E180" s="5">
        <f>IF(A180="","",COUNTIFS(TestCases!$B$2:$B$1001,A180,TestCases!$N$2:$N$1001,"Passed"))</f>
        <v/>
      </c>
      <c r="F180" s="5">
        <f>IF(A180="","",COUNTIFS(TestCases!$B$2:$B$1001,A180,TestCases!$N$2:$N$1001,"Failed")+COUNTIFS(TestCases!$B$2:$B$1001,A180,TestCases!$N$2:$N$1001,"Timed out"))</f>
        <v/>
      </c>
      <c r="G180" s="5">
        <f>IF(A180="","",C180-E180-F180-COUNTIFS(TestCases!$B$2:$B$1001,A180,TestCases!$N$2:$N$1001,"Flaky"))</f>
        <v/>
      </c>
      <c r="H180" s="5">
        <f>IF(A180="","",IF(C180=0,"No tests",IF(F180&gt;0,"Failing",IF(E180=C180,"Verified","In progress"))))</f>
        <v/>
      </c>
    </row>
    <row r="181">
      <c r="A181" s="5">
        <f>IF(Requirements!A181="","",Requirements!A181)</f>
        <v/>
      </c>
      <c r="B181" s="5">
        <f>IF(A181="","",Requirements!B181)</f>
        <v/>
      </c>
      <c r="C181" s="5">
        <f>IF(A181="","",COUNTIF(TestCases!$B$2:$B$1001,A181))</f>
        <v/>
      </c>
      <c r="D181" s="5">
        <f>IF(A181="","",COUNTIFS(TestCases!$B$2:$B$1001,A181,TestCases!$K$2:$K$1001,"Approved"))</f>
        <v/>
      </c>
      <c r="E181" s="5">
        <f>IF(A181="","",COUNTIFS(TestCases!$B$2:$B$1001,A181,TestCases!$N$2:$N$1001,"Passed"))</f>
        <v/>
      </c>
      <c r="F181" s="5">
        <f>IF(A181="","",COUNTIFS(TestCases!$B$2:$B$1001,A181,TestCases!$N$2:$N$1001,"Failed")+COUNTIFS(TestCases!$B$2:$B$1001,A181,TestCases!$N$2:$N$1001,"Timed out"))</f>
        <v/>
      </c>
      <c r="G181" s="5">
        <f>IF(A181="","",C181-E181-F181-COUNTIFS(TestCases!$B$2:$B$1001,A181,TestCases!$N$2:$N$1001,"Flaky"))</f>
        <v/>
      </c>
      <c r="H181" s="5">
        <f>IF(A181="","",IF(C181=0,"No tests",IF(F181&gt;0,"Failing",IF(E181=C181,"Verified","In progress"))))</f>
        <v/>
      </c>
    </row>
    <row r="182">
      <c r="A182" s="5">
        <f>IF(Requirements!A182="","",Requirements!A182)</f>
        <v/>
      </c>
      <c r="B182" s="5">
        <f>IF(A182="","",Requirements!B182)</f>
        <v/>
      </c>
      <c r="C182" s="5">
        <f>IF(A182="","",COUNTIF(TestCases!$B$2:$B$1001,A182))</f>
        <v/>
      </c>
      <c r="D182" s="5">
        <f>IF(A182="","",COUNTIFS(TestCases!$B$2:$B$1001,A182,TestCases!$K$2:$K$1001,"Approved"))</f>
        <v/>
      </c>
      <c r="E182" s="5">
        <f>IF(A182="","",COUNTIFS(TestCases!$B$2:$B$1001,A182,TestCases!$N$2:$N$1001,"Passed"))</f>
        <v/>
      </c>
      <c r="F182" s="5">
        <f>IF(A182="","",COUNTIFS(TestCases!$B$2:$B$1001,A182,TestCases!$N$2:$N$1001,"Failed")+COUNTIFS(TestCases!$B$2:$B$1001,A182,TestCases!$N$2:$N$1001,"Timed out"))</f>
        <v/>
      </c>
      <c r="G182" s="5">
        <f>IF(A182="","",C182-E182-F182-COUNTIFS(TestCases!$B$2:$B$1001,A182,TestCases!$N$2:$N$1001,"Flaky"))</f>
        <v/>
      </c>
      <c r="H182" s="5">
        <f>IF(A182="","",IF(C182=0,"No tests",IF(F182&gt;0,"Failing",IF(E182=C182,"Verified","In progress"))))</f>
        <v/>
      </c>
    </row>
    <row r="183">
      <c r="A183" s="5">
        <f>IF(Requirements!A183="","",Requirements!A183)</f>
        <v/>
      </c>
      <c r="B183" s="5">
        <f>IF(A183="","",Requirements!B183)</f>
        <v/>
      </c>
      <c r="C183" s="5">
        <f>IF(A183="","",COUNTIF(TestCases!$B$2:$B$1001,A183))</f>
        <v/>
      </c>
      <c r="D183" s="5">
        <f>IF(A183="","",COUNTIFS(TestCases!$B$2:$B$1001,A183,TestCases!$K$2:$K$1001,"Approved"))</f>
        <v/>
      </c>
      <c r="E183" s="5">
        <f>IF(A183="","",COUNTIFS(TestCases!$B$2:$B$1001,A183,TestCases!$N$2:$N$1001,"Passed"))</f>
        <v/>
      </c>
      <c r="F183" s="5">
        <f>IF(A183="","",COUNTIFS(TestCases!$B$2:$B$1001,A183,TestCases!$N$2:$N$1001,"Failed")+COUNTIFS(TestCases!$B$2:$B$1001,A183,TestCases!$N$2:$N$1001,"Timed out"))</f>
        <v/>
      </c>
      <c r="G183" s="5">
        <f>IF(A183="","",C183-E183-F183-COUNTIFS(TestCases!$B$2:$B$1001,A183,TestCases!$N$2:$N$1001,"Flaky"))</f>
        <v/>
      </c>
      <c r="H183" s="5">
        <f>IF(A183="","",IF(C183=0,"No tests",IF(F183&gt;0,"Failing",IF(E183=C183,"Verified","In progress"))))</f>
        <v/>
      </c>
    </row>
    <row r="184">
      <c r="A184" s="5">
        <f>IF(Requirements!A184="","",Requirements!A184)</f>
        <v/>
      </c>
      <c r="B184" s="5">
        <f>IF(A184="","",Requirements!B184)</f>
        <v/>
      </c>
      <c r="C184" s="5">
        <f>IF(A184="","",COUNTIF(TestCases!$B$2:$B$1001,A184))</f>
        <v/>
      </c>
      <c r="D184" s="5">
        <f>IF(A184="","",COUNTIFS(TestCases!$B$2:$B$1001,A184,TestCases!$K$2:$K$1001,"Approved"))</f>
        <v/>
      </c>
      <c r="E184" s="5">
        <f>IF(A184="","",COUNTIFS(TestCases!$B$2:$B$1001,A184,TestCases!$N$2:$N$1001,"Passed"))</f>
        <v/>
      </c>
      <c r="F184" s="5">
        <f>IF(A184="","",COUNTIFS(TestCases!$B$2:$B$1001,A184,TestCases!$N$2:$N$1001,"Failed")+COUNTIFS(TestCases!$B$2:$B$1001,A184,TestCases!$N$2:$N$1001,"Timed out"))</f>
        <v/>
      </c>
      <c r="G184" s="5">
        <f>IF(A184="","",C184-E184-F184-COUNTIFS(TestCases!$B$2:$B$1001,A184,TestCases!$N$2:$N$1001,"Flaky"))</f>
        <v/>
      </c>
      <c r="H184" s="5">
        <f>IF(A184="","",IF(C184=0,"No tests",IF(F184&gt;0,"Failing",IF(E184=C184,"Verified","In progress"))))</f>
        <v/>
      </c>
    </row>
    <row r="185">
      <c r="A185" s="5">
        <f>IF(Requirements!A185="","",Requirements!A185)</f>
        <v/>
      </c>
      <c r="B185" s="5">
        <f>IF(A185="","",Requirements!B185)</f>
        <v/>
      </c>
      <c r="C185" s="5">
        <f>IF(A185="","",COUNTIF(TestCases!$B$2:$B$1001,A185))</f>
        <v/>
      </c>
      <c r="D185" s="5">
        <f>IF(A185="","",COUNTIFS(TestCases!$B$2:$B$1001,A185,TestCases!$K$2:$K$1001,"Approved"))</f>
        <v/>
      </c>
      <c r="E185" s="5">
        <f>IF(A185="","",COUNTIFS(TestCases!$B$2:$B$1001,A185,TestCases!$N$2:$N$1001,"Passed"))</f>
        <v/>
      </c>
      <c r="F185" s="5">
        <f>IF(A185="","",COUNTIFS(TestCases!$B$2:$B$1001,A185,TestCases!$N$2:$N$1001,"Failed")+COUNTIFS(TestCases!$B$2:$B$1001,A185,TestCases!$N$2:$N$1001,"Timed out"))</f>
        <v/>
      </c>
      <c r="G185" s="5">
        <f>IF(A185="","",C185-E185-F185-COUNTIFS(TestCases!$B$2:$B$1001,A185,TestCases!$N$2:$N$1001,"Flaky"))</f>
        <v/>
      </c>
      <c r="H185" s="5">
        <f>IF(A185="","",IF(C185=0,"No tests",IF(F185&gt;0,"Failing",IF(E185=C185,"Verified","In progress"))))</f>
        <v/>
      </c>
    </row>
    <row r="186">
      <c r="A186" s="5">
        <f>IF(Requirements!A186="","",Requirements!A186)</f>
        <v/>
      </c>
      <c r="B186" s="5">
        <f>IF(A186="","",Requirements!B186)</f>
        <v/>
      </c>
      <c r="C186" s="5">
        <f>IF(A186="","",COUNTIF(TestCases!$B$2:$B$1001,A186))</f>
        <v/>
      </c>
      <c r="D186" s="5">
        <f>IF(A186="","",COUNTIFS(TestCases!$B$2:$B$1001,A186,TestCases!$K$2:$K$1001,"Approved"))</f>
        <v/>
      </c>
      <c r="E186" s="5">
        <f>IF(A186="","",COUNTIFS(TestCases!$B$2:$B$1001,A186,TestCases!$N$2:$N$1001,"Passed"))</f>
        <v/>
      </c>
      <c r="F186" s="5">
        <f>IF(A186="","",COUNTIFS(TestCases!$B$2:$B$1001,A186,TestCases!$N$2:$N$1001,"Failed")+COUNTIFS(TestCases!$B$2:$B$1001,A186,TestCases!$N$2:$N$1001,"Timed out"))</f>
        <v/>
      </c>
      <c r="G186" s="5">
        <f>IF(A186="","",C186-E186-F186-COUNTIFS(TestCases!$B$2:$B$1001,A186,TestCases!$N$2:$N$1001,"Flaky"))</f>
        <v/>
      </c>
      <c r="H186" s="5">
        <f>IF(A186="","",IF(C186=0,"No tests",IF(F186&gt;0,"Failing",IF(E186=C186,"Verified","In progress"))))</f>
        <v/>
      </c>
    </row>
    <row r="187">
      <c r="A187" s="5">
        <f>IF(Requirements!A187="","",Requirements!A187)</f>
        <v/>
      </c>
      <c r="B187" s="5">
        <f>IF(A187="","",Requirements!B187)</f>
        <v/>
      </c>
      <c r="C187" s="5">
        <f>IF(A187="","",COUNTIF(TestCases!$B$2:$B$1001,A187))</f>
        <v/>
      </c>
      <c r="D187" s="5">
        <f>IF(A187="","",COUNTIFS(TestCases!$B$2:$B$1001,A187,TestCases!$K$2:$K$1001,"Approved"))</f>
        <v/>
      </c>
      <c r="E187" s="5">
        <f>IF(A187="","",COUNTIFS(TestCases!$B$2:$B$1001,A187,TestCases!$N$2:$N$1001,"Passed"))</f>
        <v/>
      </c>
      <c r="F187" s="5">
        <f>IF(A187="","",COUNTIFS(TestCases!$B$2:$B$1001,A187,TestCases!$N$2:$N$1001,"Failed")+COUNTIFS(TestCases!$B$2:$B$1001,A187,TestCases!$N$2:$N$1001,"Timed out"))</f>
        <v/>
      </c>
      <c r="G187" s="5">
        <f>IF(A187="","",C187-E187-F187-COUNTIFS(TestCases!$B$2:$B$1001,A187,TestCases!$N$2:$N$1001,"Flaky"))</f>
        <v/>
      </c>
      <c r="H187" s="5">
        <f>IF(A187="","",IF(C187=0,"No tests",IF(F187&gt;0,"Failing",IF(E187=C187,"Verified","In progress"))))</f>
        <v/>
      </c>
    </row>
    <row r="188">
      <c r="A188" s="5">
        <f>IF(Requirements!A188="","",Requirements!A188)</f>
        <v/>
      </c>
      <c r="B188" s="5">
        <f>IF(A188="","",Requirements!B188)</f>
        <v/>
      </c>
      <c r="C188" s="5">
        <f>IF(A188="","",COUNTIF(TestCases!$B$2:$B$1001,A188))</f>
        <v/>
      </c>
      <c r="D188" s="5">
        <f>IF(A188="","",COUNTIFS(TestCases!$B$2:$B$1001,A188,TestCases!$K$2:$K$1001,"Approved"))</f>
        <v/>
      </c>
      <c r="E188" s="5">
        <f>IF(A188="","",COUNTIFS(TestCases!$B$2:$B$1001,A188,TestCases!$N$2:$N$1001,"Passed"))</f>
        <v/>
      </c>
      <c r="F188" s="5">
        <f>IF(A188="","",COUNTIFS(TestCases!$B$2:$B$1001,A188,TestCases!$N$2:$N$1001,"Failed")+COUNTIFS(TestCases!$B$2:$B$1001,A188,TestCases!$N$2:$N$1001,"Timed out"))</f>
        <v/>
      </c>
      <c r="G188" s="5">
        <f>IF(A188="","",C188-E188-F188-COUNTIFS(TestCases!$B$2:$B$1001,A188,TestCases!$N$2:$N$1001,"Flaky"))</f>
        <v/>
      </c>
      <c r="H188" s="5">
        <f>IF(A188="","",IF(C188=0,"No tests",IF(F188&gt;0,"Failing",IF(E188=C188,"Verified","In progress"))))</f>
        <v/>
      </c>
    </row>
    <row r="189">
      <c r="A189" s="5">
        <f>IF(Requirements!A189="","",Requirements!A189)</f>
        <v/>
      </c>
      <c r="B189" s="5">
        <f>IF(A189="","",Requirements!B189)</f>
        <v/>
      </c>
      <c r="C189" s="5">
        <f>IF(A189="","",COUNTIF(TestCases!$B$2:$B$1001,A189))</f>
        <v/>
      </c>
      <c r="D189" s="5">
        <f>IF(A189="","",COUNTIFS(TestCases!$B$2:$B$1001,A189,TestCases!$K$2:$K$1001,"Approved"))</f>
        <v/>
      </c>
      <c r="E189" s="5">
        <f>IF(A189="","",COUNTIFS(TestCases!$B$2:$B$1001,A189,TestCases!$N$2:$N$1001,"Passed"))</f>
        <v/>
      </c>
      <c r="F189" s="5">
        <f>IF(A189="","",COUNTIFS(TestCases!$B$2:$B$1001,A189,TestCases!$N$2:$N$1001,"Failed")+COUNTIFS(TestCases!$B$2:$B$1001,A189,TestCases!$N$2:$N$1001,"Timed out"))</f>
        <v/>
      </c>
      <c r="G189" s="5">
        <f>IF(A189="","",C189-E189-F189-COUNTIFS(TestCases!$B$2:$B$1001,A189,TestCases!$N$2:$N$1001,"Flaky"))</f>
        <v/>
      </c>
      <c r="H189" s="5">
        <f>IF(A189="","",IF(C189=0,"No tests",IF(F189&gt;0,"Failing",IF(E189=C189,"Verified","In progress"))))</f>
        <v/>
      </c>
    </row>
    <row r="190">
      <c r="A190" s="5">
        <f>IF(Requirements!A190="","",Requirements!A190)</f>
        <v/>
      </c>
      <c r="B190" s="5">
        <f>IF(A190="","",Requirements!B190)</f>
        <v/>
      </c>
      <c r="C190" s="5">
        <f>IF(A190="","",COUNTIF(TestCases!$B$2:$B$1001,A190))</f>
        <v/>
      </c>
      <c r="D190" s="5">
        <f>IF(A190="","",COUNTIFS(TestCases!$B$2:$B$1001,A190,TestCases!$K$2:$K$1001,"Approved"))</f>
        <v/>
      </c>
      <c r="E190" s="5">
        <f>IF(A190="","",COUNTIFS(TestCases!$B$2:$B$1001,A190,TestCases!$N$2:$N$1001,"Passed"))</f>
        <v/>
      </c>
      <c r="F190" s="5">
        <f>IF(A190="","",COUNTIFS(TestCases!$B$2:$B$1001,A190,TestCases!$N$2:$N$1001,"Failed")+COUNTIFS(TestCases!$B$2:$B$1001,A190,TestCases!$N$2:$N$1001,"Timed out"))</f>
        <v/>
      </c>
      <c r="G190" s="5">
        <f>IF(A190="","",C190-E190-F190-COUNTIFS(TestCases!$B$2:$B$1001,A190,TestCases!$N$2:$N$1001,"Flaky"))</f>
        <v/>
      </c>
      <c r="H190" s="5">
        <f>IF(A190="","",IF(C190=0,"No tests",IF(F190&gt;0,"Failing",IF(E190=C190,"Verified","In progress"))))</f>
        <v/>
      </c>
    </row>
    <row r="191">
      <c r="A191" s="5">
        <f>IF(Requirements!A191="","",Requirements!A191)</f>
        <v/>
      </c>
      <c r="B191" s="5">
        <f>IF(A191="","",Requirements!B191)</f>
        <v/>
      </c>
      <c r="C191" s="5">
        <f>IF(A191="","",COUNTIF(TestCases!$B$2:$B$1001,A191))</f>
        <v/>
      </c>
      <c r="D191" s="5">
        <f>IF(A191="","",COUNTIFS(TestCases!$B$2:$B$1001,A191,TestCases!$K$2:$K$1001,"Approved"))</f>
        <v/>
      </c>
      <c r="E191" s="5">
        <f>IF(A191="","",COUNTIFS(TestCases!$B$2:$B$1001,A191,TestCases!$N$2:$N$1001,"Passed"))</f>
        <v/>
      </c>
      <c r="F191" s="5">
        <f>IF(A191="","",COUNTIFS(TestCases!$B$2:$B$1001,A191,TestCases!$N$2:$N$1001,"Failed")+COUNTIFS(TestCases!$B$2:$B$1001,A191,TestCases!$N$2:$N$1001,"Timed out"))</f>
        <v/>
      </c>
      <c r="G191" s="5">
        <f>IF(A191="","",C191-E191-F191-COUNTIFS(TestCases!$B$2:$B$1001,A191,TestCases!$N$2:$N$1001,"Flaky"))</f>
        <v/>
      </c>
      <c r="H191" s="5">
        <f>IF(A191="","",IF(C191=0,"No tests",IF(F191&gt;0,"Failing",IF(E191=C191,"Verified","In progress"))))</f>
        <v/>
      </c>
    </row>
    <row r="192">
      <c r="A192" s="5">
        <f>IF(Requirements!A192="","",Requirements!A192)</f>
        <v/>
      </c>
      <c r="B192" s="5">
        <f>IF(A192="","",Requirements!B192)</f>
        <v/>
      </c>
      <c r="C192" s="5">
        <f>IF(A192="","",COUNTIF(TestCases!$B$2:$B$1001,A192))</f>
        <v/>
      </c>
      <c r="D192" s="5">
        <f>IF(A192="","",COUNTIFS(TestCases!$B$2:$B$1001,A192,TestCases!$K$2:$K$1001,"Approved"))</f>
        <v/>
      </c>
      <c r="E192" s="5">
        <f>IF(A192="","",COUNTIFS(TestCases!$B$2:$B$1001,A192,TestCases!$N$2:$N$1001,"Passed"))</f>
        <v/>
      </c>
      <c r="F192" s="5">
        <f>IF(A192="","",COUNTIFS(TestCases!$B$2:$B$1001,A192,TestCases!$N$2:$N$1001,"Failed")+COUNTIFS(TestCases!$B$2:$B$1001,A192,TestCases!$N$2:$N$1001,"Timed out"))</f>
        <v/>
      </c>
      <c r="G192" s="5">
        <f>IF(A192="","",C192-E192-F192-COUNTIFS(TestCases!$B$2:$B$1001,A192,TestCases!$N$2:$N$1001,"Flaky"))</f>
        <v/>
      </c>
      <c r="H192" s="5">
        <f>IF(A192="","",IF(C192=0,"No tests",IF(F192&gt;0,"Failing",IF(E192=C192,"Verified","In progress"))))</f>
        <v/>
      </c>
    </row>
    <row r="193">
      <c r="A193" s="5">
        <f>IF(Requirements!A193="","",Requirements!A193)</f>
        <v/>
      </c>
      <c r="B193" s="5">
        <f>IF(A193="","",Requirements!B193)</f>
        <v/>
      </c>
      <c r="C193" s="5">
        <f>IF(A193="","",COUNTIF(TestCases!$B$2:$B$1001,A193))</f>
        <v/>
      </c>
      <c r="D193" s="5">
        <f>IF(A193="","",COUNTIFS(TestCases!$B$2:$B$1001,A193,TestCases!$K$2:$K$1001,"Approved"))</f>
        <v/>
      </c>
      <c r="E193" s="5">
        <f>IF(A193="","",COUNTIFS(TestCases!$B$2:$B$1001,A193,TestCases!$N$2:$N$1001,"Passed"))</f>
        <v/>
      </c>
      <c r="F193" s="5">
        <f>IF(A193="","",COUNTIFS(TestCases!$B$2:$B$1001,A193,TestCases!$N$2:$N$1001,"Failed")+COUNTIFS(TestCases!$B$2:$B$1001,A193,TestCases!$N$2:$N$1001,"Timed out"))</f>
        <v/>
      </c>
      <c r="G193" s="5">
        <f>IF(A193="","",C193-E193-F193-COUNTIFS(TestCases!$B$2:$B$1001,A193,TestCases!$N$2:$N$1001,"Flaky"))</f>
        <v/>
      </c>
      <c r="H193" s="5">
        <f>IF(A193="","",IF(C193=0,"No tests",IF(F193&gt;0,"Failing",IF(E193=C193,"Verified","In progress"))))</f>
        <v/>
      </c>
    </row>
    <row r="194">
      <c r="A194" s="5">
        <f>IF(Requirements!A194="","",Requirements!A194)</f>
        <v/>
      </c>
      <c r="B194" s="5">
        <f>IF(A194="","",Requirements!B194)</f>
        <v/>
      </c>
      <c r="C194" s="5">
        <f>IF(A194="","",COUNTIF(TestCases!$B$2:$B$1001,A194))</f>
        <v/>
      </c>
      <c r="D194" s="5">
        <f>IF(A194="","",COUNTIFS(TestCases!$B$2:$B$1001,A194,TestCases!$K$2:$K$1001,"Approved"))</f>
        <v/>
      </c>
      <c r="E194" s="5">
        <f>IF(A194="","",COUNTIFS(TestCases!$B$2:$B$1001,A194,TestCases!$N$2:$N$1001,"Passed"))</f>
        <v/>
      </c>
      <c r="F194" s="5">
        <f>IF(A194="","",COUNTIFS(TestCases!$B$2:$B$1001,A194,TestCases!$N$2:$N$1001,"Failed")+COUNTIFS(TestCases!$B$2:$B$1001,A194,TestCases!$N$2:$N$1001,"Timed out"))</f>
        <v/>
      </c>
      <c r="G194" s="5">
        <f>IF(A194="","",C194-E194-F194-COUNTIFS(TestCases!$B$2:$B$1001,A194,TestCases!$N$2:$N$1001,"Flaky"))</f>
        <v/>
      </c>
      <c r="H194" s="5">
        <f>IF(A194="","",IF(C194=0,"No tests",IF(F194&gt;0,"Failing",IF(E194=C194,"Verified","In progress"))))</f>
        <v/>
      </c>
    </row>
    <row r="195">
      <c r="A195" s="5">
        <f>IF(Requirements!A195="","",Requirements!A195)</f>
        <v/>
      </c>
      <c r="B195" s="5">
        <f>IF(A195="","",Requirements!B195)</f>
        <v/>
      </c>
      <c r="C195" s="5">
        <f>IF(A195="","",COUNTIF(TestCases!$B$2:$B$1001,A195))</f>
        <v/>
      </c>
      <c r="D195" s="5">
        <f>IF(A195="","",COUNTIFS(TestCases!$B$2:$B$1001,A195,TestCases!$K$2:$K$1001,"Approved"))</f>
        <v/>
      </c>
      <c r="E195" s="5">
        <f>IF(A195="","",COUNTIFS(TestCases!$B$2:$B$1001,A195,TestCases!$N$2:$N$1001,"Passed"))</f>
        <v/>
      </c>
      <c r="F195" s="5">
        <f>IF(A195="","",COUNTIFS(TestCases!$B$2:$B$1001,A195,TestCases!$N$2:$N$1001,"Failed")+COUNTIFS(TestCases!$B$2:$B$1001,A195,TestCases!$N$2:$N$1001,"Timed out"))</f>
        <v/>
      </c>
      <c r="G195" s="5">
        <f>IF(A195="","",C195-E195-F195-COUNTIFS(TestCases!$B$2:$B$1001,A195,TestCases!$N$2:$N$1001,"Flaky"))</f>
        <v/>
      </c>
      <c r="H195" s="5">
        <f>IF(A195="","",IF(C195=0,"No tests",IF(F195&gt;0,"Failing",IF(E195=C195,"Verified","In progress"))))</f>
        <v/>
      </c>
    </row>
    <row r="196">
      <c r="A196" s="5">
        <f>IF(Requirements!A196="","",Requirements!A196)</f>
        <v/>
      </c>
      <c r="B196" s="5">
        <f>IF(A196="","",Requirements!B196)</f>
        <v/>
      </c>
      <c r="C196" s="5">
        <f>IF(A196="","",COUNTIF(TestCases!$B$2:$B$1001,A196))</f>
        <v/>
      </c>
      <c r="D196" s="5">
        <f>IF(A196="","",COUNTIFS(TestCases!$B$2:$B$1001,A196,TestCases!$K$2:$K$1001,"Approved"))</f>
        <v/>
      </c>
      <c r="E196" s="5">
        <f>IF(A196="","",COUNTIFS(TestCases!$B$2:$B$1001,A196,TestCases!$N$2:$N$1001,"Passed"))</f>
        <v/>
      </c>
      <c r="F196" s="5">
        <f>IF(A196="","",COUNTIFS(TestCases!$B$2:$B$1001,A196,TestCases!$N$2:$N$1001,"Failed")+COUNTIFS(TestCases!$B$2:$B$1001,A196,TestCases!$N$2:$N$1001,"Timed out"))</f>
        <v/>
      </c>
      <c r="G196" s="5">
        <f>IF(A196="","",C196-E196-F196-COUNTIFS(TestCases!$B$2:$B$1001,A196,TestCases!$N$2:$N$1001,"Flaky"))</f>
        <v/>
      </c>
      <c r="H196" s="5">
        <f>IF(A196="","",IF(C196=0,"No tests",IF(F196&gt;0,"Failing",IF(E196=C196,"Verified","In progress"))))</f>
        <v/>
      </c>
    </row>
    <row r="197">
      <c r="A197" s="5">
        <f>IF(Requirements!A197="","",Requirements!A197)</f>
        <v/>
      </c>
      <c r="B197" s="5">
        <f>IF(A197="","",Requirements!B197)</f>
        <v/>
      </c>
      <c r="C197" s="5">
        <f>IF(A197="","",COUNTIF(TestCases!$B$2:$B$1001,A197))</f>
        <v/>
      </c>
      <c r="D197" s="5">
        <f>IF(A197="","",COUNTIFS(TestCases!$B$2:$B$1001,A197,TestCases!$K$2:$K$1001,"Approved"))</f>
        <v/>
      </c>
      <c r="E197" s="5">
        <f>IF(A197="","",COUNTIFS(TestCases!$B$2:$B$1001,A197,TestCases!$N$2:$N$1001,"Passed"))</f>
        <v/>
      </c>
      <c r="F197" s="5">
        <f>IF(A197="","",COUNTIFS(TestCases!$B$2:$B$1001,A197,TestCases!$N$2:$N$1001,"Failed")+COUNTIFS(TestCases!$B$2:$B$1001,A197,TestCases!$N$2:$N$1001,"Timed out"))</f>
        <v/>
      </c>
      <c r="G197" s="5">
        <f>IF(A197="","",C197-E197-F197-COUNTIFS(TestCases!$B$2:$B$1001,A197,TestCases!$N$2:$N$1001,"Flaky"))</f>
        <v/>
      </c>
      <c r="H197" s="5">
        <f>IF(A197="","",IF(C197=0,"No tests",IF(F197&gt;0,"Failing",IF(E197=C197,"Verified","In progress"))))</f>
        <v/>
      </c>
    </row>
    <row r="198">
      <c r="A198" s="5">
        <f>IF(Requirements!A198="","",Requirements!A198)</f>
        <v/>
      </c>
      <c r="B198" s="5">
        <f>IF(A198="","",Requirements!B198)</f>
        <v/>
      </c>
      <c r="C198" s="5">
        <f>IF(A198="","",COUNTIF(TestCases!$B$2:$B$1001,A198))</f>
        <v/>
      </c>
      <c r="D198" s="5">
        <f>IF(A198="","",COUNTIFS(TestCases!$B$2:$B$1001,A198,TestCases!$K$2:$K$1001,"Approved"))</f>
        <v/>
      </c>
      <c r="E198" s="5">
        <f>IF(A198="","",COUNTIFS(TestCases!$B$2:$B$1001,A198,TestCases!$N$2:$N$1001,"Passed"))</f>
        <v/>
      </c>
      <c r="F198" s="5">
        <f>IF(A198="","",COUNTIFS(TestCases!$B$2:$B$1001,A198,TestCases!$N$2:$N$1001,"Failed")+COUNTIFS(TestCases!$B$2:$B$1001,A198,TestCases!$N$2:$N$1001,"Timed out"))</f>
        <v/>
      </c>
      <c r="G198" s="5">
        <f>IF(A198="","",C198-E198-F198-COUNTIFS(TestCases!$B$2:$B$1001,A198,TestCases!$N$2:$N$1001,"Flaky"))</f>
        <v/>
      </c>
      <c r="H198" s="5">
        <f>IF(A198="","",IF(C198=0,"No tests",IF(F198&gt;0,"Failing",IF(E198=C198,"Verified","In progress"))))</f>
        <v/>
      </c>
    </row>
    <row r="199">
      <c r="A199" s="5">
        <f>IF(Requirements!A199="","",Requirements!A199)</f>
        <v/>
      </c>
      <c r="B199" s="5">
        <f>IF(A199="","",Requirements!B199)</f>
        <v/>
      </c>
      <c r="C199" s="5">
        <f>IF(A199="","",COUNTIF(TestCases!$B$2:$B$1001,A199))</f>
        <v/>
      </c>
      <c r="D199" s="5">
        <f>IF(A199="","",COUNTIFS(TestCases!$B$2:$B$1001,A199,TestCases!$K$2:$K$1001,"Approved"))</f>
        <v/>
      </c>
      <c r="E199" s="5">
        <f>IF(A199="","",COUNTIFS(TestCases!$B$2:$B$1001,A199,TestCases!$N$2:$N$1001,"Passed"))</f>
        <v/>
      </c>
      <c r="F199" s="5">
        <f>IF(A199="","",COUNTIFS(TestCases!$B$2:$B$1001,A199,TestCases!$N$2:$N$1001,"Failed")+COUNTIFS(TestCases!$B$2:$B$1001,A199,TestCases!$N$2:$N$1001,"Timed out"))</f>
        <v/>
      </c>
      <c r="G199" s="5">
        <f>IF(A199="","",C199-E199-F199-COUNTIFS(TestCases!$B$2:$B$1001,A199,TestCases!$N$2:$N$1001,"Flaky"))</f>
        <v/>
      </c>
      <c r="H199" s="5">
        <f>IF(A199="","",IF(C199=0,"No tests",IF(F199&gt;0,"Failing",IF(E199=C199,"Verified","In progress"))))</f>
        <v/>
      </c>
    </row>
    <row r="200">
      <c r="A200" s="5">
        <f>IF(Requirements!A200="","",Requirements!A200)</f>
        <v/>
      </c>
      <c r="B200" s="5">
        <f>IF(A200="","",Requirements!B200)</f>
        <v/>
      </c>
      <c r="C200" s="5">
        <f>IF(A200="","",COUNTIF(TestCases!$B$2:$B$1001,A200))</f>
        <v/>
      </c>
      <c r="D200" s="5">
        <f>IF(A200="","",COUNTIFS(TestCases!$B$2:$B$1001,A200,TestCases!$K$2:$K$1001,"Approved"))</f>
        <v/>
      </c>
      <c r="E200" s="5">
        <f>IF(A200="","",COUNTIFS(TestCases!$B$2:$B$1001,A200,TestCases!$N$2:$N$1001,"Passed"))</f>
        <v/>
      </c>
      <c r="F200" s="5">
        <f>IF(A200="","",COUNTIFS(TestCases!$B$2:$B$1001,A200,TestCases!$N$2:$N$1001,"Failed")+COUNTIFS(TestCases!$B$2:$B$1001,A200,TestCases!$N$2:$N$1001,"Timed out"))</f>
        <v/>
      </c>
      <c r="G200" s="5">
        <f>IF(A200="","",C200-E200-F200-COUNTIFS(TestCases!$B$2:$B$1001,A200,TestCases!$N$2:$N$1001,"Flaky"))</f>
        <v/>
      </c>
      <c r="H200" s="5">
        <f>IF(A200="","",IF(C200=0,"No tests",IF(F200&gt;0,"Failing",IF(E200=C200,"Verified","In progress"))))</f>
        <v/>
      </c>
    </row>
    <row r="201">
      <c r="A201" s="5">
        <f>IF(Requirements!A201="","",Requirements!A201)</f>
        <v/>
      </c>
      <c r="B201" s="5">
        <f>IF(A201="","",Requirements!B201)</f>
        <v/>
      </c>
      <c r="C201" s="5">
        <f>IF(A201="","",COUNTIF(TestCases!$B$2:$B$1001,A201))</f>
        <v/>
      </c>
      <c r="D201" s="5">
        <f>IF(A201="","",COUNTIFS(TestCases!$B$2:$B$1001,A201,TestCases!$K$2:$K$1001,"Approved"))</f>
        <v/>
      </c>
      <c r="E201" s="5">
        <f>IF(A201="","",COUNTIFS(TestCases!$B$2:$B$1001,A201,TestCases!$N$2:$N$1001,"Passed"))</f>
        <v/>
      </c>
      <c r="F201" s="5">
        <f>IF(A201="","",COUNTIFS(TestCases!$B$2:$B$1001,A201,TestCases!$N$2:$N$1001,"Failed")+COUNTIFS(TestCases!$B$2:$B$1001,A201,TestCases!$N$2:$N$1001,"Timed out"))</f>
        <v/>
      </c>
      <c r="G201" s="5">
        <f>IF(A201="","",C201-E201-F201-COUNTIFS(TestCases!$B$2:$B$1001,A201,TestCases!$N$2:$N$1001,"Flaky"))</f>
        <v/>
      </c>
      <c r="H201" s="5">
        <f>IF(A201="","",IF(C201=0,"No tests",IF(F201&gt;0,"Failing",IF(E201=C201,"Verified","In progress"))))</f>
        <v/>
      </c>
    </row>
  </sheetData>
  <conditionalFormatting sqref="H2:H201">
    <cfRule type="cellIs" priority="1" operator="equal" dxfId="0">
      <formula>"No tests"</formula>
    </cfRule>
    <cfRule type="cellIs" priority="2" operator="equal" dxfId="0">
      <formula>"Failing"</formula>
    </cfRule>
    <cfRule type="cellIs" priority="3" operator="equal" dxfId="1">
      <formula>"Verified"</formula>
    </cfRule>
    <cfRule type="cellIs" priority="4" operator="equal" dxfId="2">
      <formula>"In progress"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6" customWidth="1" min="3" max="3"/>
    <col width="11" customWidth="1" min="4" max="4"/>
    <col width="12" customWidth="1" min="5" max="5"/>
    <col width="44" customWidth="1" min="6" max="6"/>
    <col width="30" customWidth="1" min="7" max="7"/>
    <col width="30" customWidth="1" min="8" max="8"/>
    <col width="34" customWidth="1" min="9" max="9"/>
    <col width="12" customWidth="1" min="10" max="10"/>
  </cols>
  <sheetData>
    <row r="1" ht="24" customHeight="1">
      <c r="A1" s="8" t="inlineStr">
        <is>
          <t>Bug_ID</t>
        </is>
      </c>
      <c r="B1" s="8" t="inlineStr">
        <is>
          <t>TC_ID</t>
        </is>
      </c>
      <c r="C1" s="8" t="inlineStr">
        <is>
          <t>Title</t>
        </is>
      </c>
      <c r="D1" s="8" t="inlineStr">
        <is>
          <t>Severity</t>
        </is>
      </c>
      <c r="E1" s="8" t="inlineStr">
        <is>
          <t>Status</t>
        </is>
      </c>
      <c r="F1" s="8" t="inlineStr">
        <is>
          <t>Steps</t>
        </is>
      </c>
      <c r="G1" s="8" t="inlineStr">
        <is>
          <t>Expected</t>
        </is>
      </c>
      <c r="H1" s="8" t="inlineStr">
        <is>
          <t>Actual</t>
        </is>
      </c>
      <c r="I1" s="8" t="inlineStr">
        <is>
          <t>Evidence</t>
        </is>
      </c>
      <c r="J1" s="8" t="inlineStr">
        <is>
          <t>Reported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</sheetData>
  <dataValidations count="2">
    <dataValidation sqref="D2:D500" showDropDown="0" showInputMessage="0" showErrorMessage="0" allowBlank="1" type="list">
      <formula1>"Critical,Major,Minor,Trivial"</formula1>
    </dataValidation>
    <dataValidation sqref="E2:E500" showDropDown="0" showInputMessage="0" showErrorMessage="0" allowBlank="1" type="list">
      <formula1>"New,Confirmed,Fixed,Verified,Rejected"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2026-10-28T14:32:22Z</dcterms:created>
  <dcterms:modified xmlns:dcterms="http://purl.org/dc/terms/" xmlns:xsi="http://www.w3.org/2001/XMLSchema-instance" xsi:type="dcterms:W3CDTF">2026-10-28T14:32:22Z</dcterms:modified>
</cp:coreProperties>
</file>